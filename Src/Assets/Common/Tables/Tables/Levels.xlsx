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Common\Tables\Tables\"/>
    </mc:Choice>
  </mc:AlternateContent>
  <xr:revisionPtr revIDLastSave="0" documentId="13_ncr:1_{6867075D-A563-474B-A0D9-C92C654A91B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haracter" sheetId="2" r:id="rId1"/>
    <sheet name="Emotion" sheetId="4" r:id="rId2"/>
    <sheet name="AI" sheetId="5" r:id="rId3"/>
    <sheet name="Level" sheetId="3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5" l="1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B37" i="5"/>
  <c r="B32" i="5"/>
  <c r="B33" i="5"/>
  <c r="N6" i="3"/>
  <c r="O6" i="3"/>
  <c r="N7" i="3"/>
  <c r="O7" i="3"/>
  <c r="N4" i="3"/>
  <c r="O4" i="3"/>
  <c r="N5" i="3"/>
  <c r="O5" i="3"/>
  <c r="N8" i="3"/>
  <c r="N9" i="3"/>
  <c r="N10" i="3"/>
  <c r="N11" i="3"/>
  <c r="O8" i="3"/>
  <c r="O9" i="3"/>
  <c r="O10" i="3"/>
  <c r="O11" i="3"/>
  <c r="O2" i="3"/>
  <c r="N3" i="3"/>
  <c r="O3" i="3"/>
  <c r="B60" i="5"/>
  <c r="K60" i="5"/>
  <c r="B61" i="5"/>
  <c r="K61" i="5"/>
  <c r="B62" i="5"/>
  <c r="K62" i="5"/>
  <c r="B63" i="5"/>
  <c r="K63" i="5"/>
  <c r="B64" i="5"/>
  <c r="K64" i="5"/>
  <c r="B65" i="5"/>
  <c r="K65" i="5"/>
  <c r="B66" i="5"/>
  <c r="K66" i="5"/>
  <c r="B67" i="5"/>
  <c r="K67" i="5"/>
  <c r="B68" i="5"/>
  <c r="K68" i="5"/>
  <c r="B69" i="5"/>
  <c r="K69" i="5"/>
  <c r="B70" i="5"/>
  <c r="K70" i="5"/>
  <c r="B71" i="5"/>
  <c r="K71" i="5"/>
  <c r="B72" i="5"/>
  <c r="K72" i="5"/>
  <c r="B73" i="5"/>
  <c r="K73" i="5"/>
  <c r="B74" i="5"/>
  <c r="K74" i="5"/>
  <c r="B75" i="5"/>
  <c r="K75" i="5"/>
  <c r="B76" i="5"/>
  <c r="K76" i="5"/>
  <c r="B77" i="5"/>
  <c r="K77" i="5"/>
  <c r="B78" i="5"/>
  <c r="K78" i="5"/>
  <c r="B79" i="5"/>
  <c r="K79" i="5"/>
  <c r="B80" i="5"/>
  <c r="K80" i="5"/>
  <c r="B81" i="5"/>
  <c r="K81" i="5"/>
  <c r="K82" i="5"/>
  <c r="B40" i="5"/>
  <c r="K40" i="5"/>
  <c r="B41" i="5"/>
  <c r="K41" i="5"/>
  <c r="B42" i="5"/>
  <c r="K42" i="5"/>
  <c r="B43" i="5"/>
  <c r="K43" i="5"/>
  <c r="B44" i="5"/>
  <c r="K44" i="5"/>
  <c r="B45" i="5"/>
  <c r="K45" i="5"/>
  <c r="B46" i="5"/>
  <c r="K46" i="5"/>
  <c r="B47" i="5"/>
  <c r="K47" i="5"/>
  <c r="B48" i="5"/>
  <c r="K48" i="5"/>
  <c r="B49" i="5"/>
  <c r="K49" i="5"/>
  <c r="B50" i="5"/>
  <c r="K50" i="5"/>
  <c r="B51" i="5"/>
  <c r="K51" i="5"/>
  <c r="B52" i="5"/>
  <c r="K52" i="5"/>
  <c r="B53" i="5"/>
  <c r="K53" i="5"/>
  <c r="B54" i="5"/>
  <c r="K54" i="5"/>
  <c r="B55" i="5"/>
  <c r="K55" i="5"/>
  <c r="B56" i="5"/>
  <c r="K56" i="5"/>
  <c r="B57" i="5"/>
  <c r="K57" i="5"/>
  <c r="B58" i="5"/>
  <c r="K58" i="5"/>
  <c r="B22" i="5"/>
  <c r="K22" i="5"/>
  <c r="B23" i="5"/>
  <c r="K23" i="5"/>
  <c r="B24" i="5"/>
  <c r="K24" i="5"/>
  <c r="B25" i="5"/>
  <c r="K25" i="5"/>
  <c r="B26" i="5"/>
  <c r="K26" i="5"/>
  <c r="B27" i="5"/>
  <c r="K27" i="5"/>
  <c r="B28" i="5"/>
  <c r="K28" i="5"/>
  <c r="B29" i="5"/>
  <c r="K29" i="5"/>
  <c r="B30" i="5"/>
  <c r="K30" i="5"/>
  <c r="B31" i="5"/>
  <c r="K31" i="5"/>
  <c r="K32" i="5"/>
  <c r="K33" i="5"/>
  <c r="B34" i="5"/>
  <c r="K34" i="5"/>
  <c r="B35" i="5"/>
  <c r="K35" i="5"/>
  <c r="B36" i="5"/>
  <c r="K36" i="5"/>
  <c r="K37" i="5"/>
  <c r="B38" i="5"/>
  <c r="K38" i="5"/>
  <c r="B8" i="5"/>
  <c r="K8" i="5"/>
  <c r="B9" i="5"/>
  <c r="K9" i="5"/>
  <c r="B10" i="5"/>
  <c r="K10" i="5"/>
  <c r="B11" i="5"/>
  <c r="K11" i="5"/>
  <c r="B12" i="5"/>
  <c r="K12" i="5"/>
  <c r="B13" i="5"/>
  <c r="K13" i="5"/>
  <c r="B14" i="5"/>
  <c r="K14" i="5"/>
  <c r="B15" i="5"/>
  <c r="K15" i="5"/>
  <c r="B16" i="5"/>
  <c r="K16" i="5"/>
  <c r="B17" i="5"/>
  <c r="K17" i="5"/>
  <c r="B18" i="5"/>
  <c r="B19" i="5"/>
  <c r="K19" i="5"/>
  <c r="B20" i="5"/>
  <c r="K20" i="5"/>
  <c r="K39" i="5"/>
  <c r="K59" i="5"/>
  <c r="B39" i="5"/>
  <c r="B59" i="5"/>
  <c r="K3" i="5"/>
  <c r="K4" i="5"/>
  <c r="K5" i="5"/>
  <c r="K6" i="5"/>
  <c r="K7" i="5"/>
  <c r="K21" i="5"/>
  <c r="K2" i="5"/>
  <c r="B21" i="5"/>
  <c r="B3" i="5"/>
  <c r="B4" i="5"/>
  <c r="B5" i="5"/>
  <c r="B6" i="5"/>
  <c r="B7" i="5"/>
  <c r="B2" i="5"/>
</calcChain>
</file>

<file path=xl/sharedStrings.xml><?xml version="1.0" encoding="utf-8"?>
<sst xmlns="http://schemas.openxmlformats.org/spreadsheetml/2006/main" count="1095" uniqueCount="490">
  <si>
    <t>Key</t>
  </si>
  <si>
    <t>ID</t>
  </si>
  <si>
    <t>CharacterID</t>
  </si>
  <si>
    <t>Name</t>
  </si>
  <si>
    <t>IsFriend</t>
  </si>
  <si>
    <t>MaxHP</t>
  </si>
  <si>
    <t>InitialHP</t>
  </si>
  <si>
    <t>InitialResource</t>
  </si>
  <si>
    <t>DisabledAction</t>
  </si>
  <si>
    <t>EnabledAction</t>
  </si>
  <si>
    <t>Arrogant</t>
  </si>
  <si>
    <t>[]</t>
  </si>
  <si>
    <t>[0,0,0]</t>
  </si>
  <si>
    <t>Bellicose</t>
  </si>
  <si>
    <t>Cowardly</t>
  </si>
  <si>
    <t>Friendly</t>
  </si>
  <si>
    <t>["bullet"]</t>
  </si>
  <si>
    <t>Novice Assassin</t>
  </si>
  <si>
    <t>见习刺客</t>
  </si>
  <si>
    <t>Black Coat</t>
  </si>
  <si>
    <t>黑衣人</t>
  </si>
  <si>
    <t>Fucked</t>
  </si>
  <si>
    <t>臭鼬奴隶</t>
  </si>
  <si>
    <t>Skunk Chieftain</t>
  </si>
  <si>
    <t>臭鼬头领</t>
  </si>
  <si>
    <t>Dagger of Void</t>
  </si>
  <si>
    <t>[0,6,0]</t>
  </si>
  <si>
    <t>EnglishName</t>
  </si>
  <si>
    <t>EnemyList</t>
  </si>
  <si>
    <t>FriendList</t>
  </si>
  <si>
    <t>UnlockedAction</t>
  </si>
  <si>
    <t>PlayerSkillSlots</t>
  </si>
  <si>
    <t>PlayerHP</t>
  </si>
  <si>
    <t>PlayerInitialResource</t>
  </si>
  <si>
    <t>1-1</t>
  </si>
  <si>
    <t>旅途伊始</t>
  </si>
  <si>
    <t>1-2</t>
  </si>
  <si>
    <t>高塔</t>
  </si>
  <si>
    <t>围剿</t>
  </si>
  <si>
    <t>1-4</t>
  </si>
  <si>
    <t>保护绅士</t>
  </si>
  <si>
    <t>2-1</t>
  </si>
  <si>
    <t>2-2</t>
  </si>
  <si>
    <t>["cleave","heavy_block"]</t>
  </si>
  <si>
    <t>2-3</t>
  </si>
  <si>
    <t>2-4</t>
  </si>
  <si>
    <t>2-5</t>
  </si>
  <si>
    <t>2-6</t>
  </si>
  <si>
    <t>3-1</t>
  </si>
  <si>
    <t>IniEmotion</t>
  </si>
  <si>
    <t>EmotionChange_TurnBased</t>
  </si>
  <si>
    <t>MaxEmotion</t>
  </si>
  <si>
    <t>MinEmotion</t>
  </si>
  <si>
    <t>友好的</t>
  </si>
  <si>
    <t>怯懦的</t>
  </si>
  <si>
    <t>好战的</t>
  </si>
  <si>
    <t>傲慢的</t>
  </si>
  <si>
    <t>EmotionalValueLowerLimit</t>
  </si>
  <si>
    <t>EmotionalValueUpperLimit</t>
  </si>
  <si>
    <t>ActionTendency</t>
  </si>
  <si>
    <t>MultiAttackCheckValue</t>
  </si>
  <si>
    <t>MultiProvokeCheckValue</t>
  </si>
  <si>
    <t>Angry</t>
  </si>
  <si>
    <t>愤怒的</t>
  </si>
  <si>
    <t>[5,9,1,1,4]</t>
  </si>
  <si>
    <t>Peaceful</t>
  </si>
  <si>
    <t>平和的</t>
  </si>
  <si>
    <t>[5,6,3,4,2]</t>
  </si>
  <si>
    <t>Afraid</t>
  </si>
  <si>
    <t>恐惧的</t>
  </si>
  <si>
    <t>[5,3,7,3,2]</t>
  </si>
  <si>
    <t>3-2</t>
    <phoneticPr fontId="5" type="noConversion"/>
  </si>
  <si>
    <t>3-3</t>
  </si>
  <si>
    <t>3-5</t>
  </si>
  <si>
    <t>3-7</t>
  </si>
  <si>
    <t>4-1</t>
    <phoneticPr fontId="5" type="noConversion"/>
  </si>
  <si>
    <t>4-2</t>
    <phoneticPr fontId="5" type="noConversion"/>
  </si>
  <si>
    <t>5-1</t>
    <phoneticPr fontId="5" type="noConversion"/>
  </si>
  <si>
    <t>5-2</t>
    <phoneticPr fontId="5" type="noConversion"/>
  </si>
  <si>
    <t>Toy Grunt</t>
  </si>
  <si>
    <t>玩具兵</t>
    <phoneticPr fontId="7" type="noConversion"/>
  </si>
  <si>
    <t>Toy Warrior</t>
    <phoneticPr fontId="7" type="noConversion"/>
  </si>
  <si>
    <t>Toy Guardian</t>
    <phoneticPr fontId="7" type="noConversion"/>
  </si>
  <si>
    <t>玩具盾卫</t>
    <phoneticPr fontId="7" type="noConversion"/>
  </si>
  <si>
    <t>玩具战士</t>
    <phoneticPr fontId="7" type="noConversion"/>
  </si>
  <si>
    <t>Toy Minion</t>
    <phoneticPr fontId="7" type="noConversion"/>
  </si>
  <si>
    <t>玩具跟班</t>
    <phoneticPr fontId="7" type="noConversion"/>
  </si>
  <si>
    <t>玩具绅士</t>
    <phoneticPr fontId="7" type="noConversion"/>
  </si>
  <si>
    <t>Toy Gentleman</t>
    <phoneticPr fontId="7" type="noConversion"/>
  </si>
  <si>
    <t>Toy Factory</t>
    <phoneticPr fontId="7" type="noConversion"/>
  </si>
  <si>
    <t>玩具制造工厂</t>
    <phoneticPr fontId="7" type="noConversion"/>
  </si>
  <si>
    <t>Swordsman of Faith</t>
    <phoneticPr fontId="7" type="noConversion"/>
  </si>
  <si>
    <t>Furious Skunk</t>
  </si>
  <si>
    <t>Skunk Slave</t>
  </si>
  <si>
    <t>Void Beast</t>
  </si>
  <si>
    <t>虚空兽</t>
    <phoneticPr fontId="7" type="noConversion"/>
  </si>
  <si>
    <t>虚空之影</t>
    <phoneticPr fontId="7" type="noConversion"/>
  </si>
  <si>
    <t>臭鼬狂战士</t>
    <phoneticPr fontId="7" type="noConversion"/>
  </si>
  <si>
    <t>Shadow of Void</t>
    <phoneticPr fontId="7" type="noConversion"/>
  </si>
  <si>
    <t>卫道剑士</t>
    <phoneticPr fontId="7" type="noConversion"/>
  </si>
  <si>
    <t>Chronos Hand</t>
  </si>
  <si>
    <t>克罗诺斯之手</t>
  </si>
  <si>
    <t>谟涅摩叙涅之手</t>
  </si>
  <si>
    <t>意志实体</t>
  </si>
  <si>
    <t>Mnemosyne Hand</t>
  </si>
  <si>
    <t>Entity of Will</t>
  </si>
  <si>
    <t>Sword of Shadow</t>
  </si>
  <si>
    <t>Stronghold Chieftain</t>
  </si>
  <si>
    <t>虚空匕首</t>
    <phoneticPr fontId="7" type="noConversion"/>
  </si>
  <si>
    <t>影刃</t>
    <phoneticPr fontId="7" type="noConversion"/>
  </si>
  <si>
    <t>山寨寨主</t>
    <phoneticPr fontId="7" type="noConversion"/>
  </si>
  <si>
    <t>Arbiter of Divine</t>
  </si>
  <si>
    <t>裁决使</t>
    <phoneticPr fontId="7" type="noConversion"/>
  </si>
  <si>
    <t>Judge of Divine</t>
    <phoneticPr fontId="7" type="noConversion"/>
  </si>
  <si>
    <t>审判官</t>
    <phoneticPr fontId="7" type="noConversion"/>
  </si>
  <si>
    <t>Butaro</t>
    <phoneticPr fontId="7" type="noConversion"/>
  </si>
  <si>
    <t>Huntaro</t>
    <phoneticPr fontId="7" type="noConversion"/>
  </si>
  <si>
    <t>Weasel Bandit</t>
  </si>
  <si>
    <t>Weasel Lackey</t>
  </si>
  <si>
    <t>肥之郎</t>
    <phoneticPr fontId="7" type="noConversion"/>
  </si>
  <si>
    <t>狩之郎</t>
    <phoneticPr fontId="7" type="noConversion"/>
  </si>
  <si>
    <t>黄鼠狼强盗</t>
    <phoneticPr fontId="7" type="noConversion"/>
  </si>
  <si>
    <t>一只眼</t>
    <phoneticPr fontId="7" type="noConversion"/>
  </si>
  <si>
    <t>Chapter</t>
    <phoneticPr fontId="5" type="noConversion"/>
  </si>
  <si>
    <t>黄鼠狼小弟</t>
    <phoneticPr fontId="7" type="noConversion"/>
  </si>
  <si>
    <t>Guard Captain</t>
    <phoneticPr fontId="7" type="noConversion"/>
  </si>
  <si>
    <t>Right Guard</t>
    <phoneticPr fontId="7" type="noConversion"/>
  </si>
  <si>
    <t>Left Guard</t>
    <phoneticPr fontId="7" type="noConversion"/>
  </si>
  <si>
    <t>左戍卫</t>
    <phoneticPr fontId="7" type="noConversion"/>
  </si>
  <si>
    <t>右戍卫</t>
    <phoneticPr fontId="7" type="noConversion"/>
  </si>
  <si>
    <t>戍卫领队</t>
    <phoneticPr fontId="7" type="noConversion"/>
  </si>
  <si>
    <t>Shadow_1</t>
    <phoneticPr fontId="7" type="noConversion"/>
  </si>
  <si>
    <t>Shadow_3</t>
  </si>
  <si>
    <t>影</t>
    <phoneticPr fontId="7" type="noConversion"/>
  </si>
  <si>
    <t>手·幻象</t>
    <phoneticPr fontId="7" type="noConversion"/>
  </si>
  <si>
    <t>牧师</t>
    <phoneticPr fontId="7" type="noConversion"/>
  </si>
  <si>
    <t>Cleric</t>
    <phoneticPr fontId="7" type="noConversion"/>
  </si>
  <si>
    <t>棱镜舞者</t>
    <phoneticPr fontId="7" type="noConversion"/>
  </si>
  <si>
    <t>One-Eye</t>
    <phoneticPr fontId="7" type="noConversion"/>
  </si>
  <si>
    <t>Shadow_2</t>
    <phoneticPr fontId="7" type="noConversion"/>
  </si>
  <si>
    <t>Hand-Mirage</t>
    <phoneticPr fontId="7" type="noConversion"/>
  </si>
  <si>
    <t>Bog Monkey</t>
    <phoneticPr fontId="7" type="noConversion"/>
  </si>
  <si>
    <t>水猴子</t>
    <phoneticPr fontId="7" type="noConversion"/>
  </si>
  <si>
    <t>Bog Sage</t>
    <phoneticPr fontId="7" type="noConversion"/>
  </si>
  <si>
    <t>深潭长老</t>
    <phoneticPr fontId="7" type="noConversion"/>
  </si>
  <si>
    <t>Rubber Logistics Soldier</t>
    <phoneticPr fontId="7" type="noConversion"/>
  </si>
  <si>
    <t>后勤兵</t>
    <phoneticPr fontId="7" type="noConversion"/>
  </si>
  <si>
    <t>Tiger</t>
    <phoneticPr fontId="7" type="noConversion"/>
  </si>
  <si>
    <t>虎式</t>
    <phoneticPr fontId="7" type="noConversion"/>
  </si>
  <si>
    <t>Ghost Warrior</t>
    <phoneticPr fontId="7" type="noConversion"/>
  </si>
  <si>
    <t>鬼武士</t>
    <phoneticPr fontId="7" type="noConversion"/>
  </si>
  <si>
    <t>古斯塔夫轨道炮</t>
    <phoneticPr fontId="7" type="noConversion"/>
  </si>
  <si>
    <t>橡胶炮兵</t>
    <phoneticPr fontId="7" type="noConversion"/>
  </si>
  <si>
    <t>Voidwarden of Pale</t>
    <phoneticPr fontId="7" type="noConversion"/>
  </si>
  <si>
    <t>白使徒</t>
    <phoneticPr fontId="7" type="noConversion"/>
  </si>
  <si>
    <t>黑使徒</t>
    <phoneticPr fontId="7" type="noConversion"/>
  </si>
  <si>
    <t>Voidwarden of Abyss</t>
    <phoneticPr fontId="7" type="noConversion"/>
  </si>
  <si>
    <t>Cursed Tree</t>
    <phoneticPr fontId="7" type="noConversion"/>
  </si>
  <si>
    <t>魔树</t>
    <phoneticPr fontId="7" type="noConversion"/>
  </si>
  <si>
    <t>豪猪</t>
    <phoneticPr fontId="7" type="noConversion"/>
  </si>
  <si>
    <t>Tree Spirit</t>
    <phoneticPr fontId="7" type="noConversion"/>
  </si>
  <si>
    <t>树灵</t>
    <phoneticPr fontId="7" type="noConversion"/>
  </si>
  <si>
    <t>丛林狼</t>
    <phoneticPr fontId="7" type="noConversion"/>
  </si>
  <si>
    <t>勇者·左手</t>
    <phoneticPr fontId="7" type="noConversion"/>
  </si>
  <si>
    <t>勇者·右手</t>
    <phoneticPr fontId="7" type="noConversion"/>
  </si>
  <si>
    <t>Fear</t>
    <phoneticPr fontId="7" type="noConversion"/>
  </si>
  <si>
    <t>恐惧</t>
    <phoneticPr fontId="7" type="noConversion"/>
  </si>
  <si>
    <t>不屈</t>
    <phoneticPr fontId="7" type="noConversion"/>
  </si>
  <si>
    <t>Unbroken Will</t>
    <phoneticPr fontId="7" type="noConversion"/>
  </si>
  <si>
    <t>古老勇者</t>
    <phoneticPr fontId="7" type="noConversion"/>
  </si>
  <si>
    <t>勇者先灵</t>
    <phoneticPr fontId="7" type="noConversion"/>
  </si>
  <si>
    <t>誓约之剑</t>
    <phoneticPr fontId="7" type="noConversion"/>
  </si>
  <si>
    <t>Ancestral Brave</t>
    <phoneticPr fontId="7" type="noConversion"/>
  </si>
  <si>
    <t>Brave of Old</t>
    <phoneticPr fontId="7" type="noConversion"/>
  </si>
  <si>
    <t>Gustav Railway Cannon</t>
    <phoneticPr fontId="7" type="noConversion"/>
  </si>
  <si>
    <t>Rubber Artillery</t>
    <phoneticPr fontId="7" type="noConversion"/>
  </si>
  <si>
    <t>Porcupine</t>
    <phoneticPr fontId="7" type="noConversion"/>
  </si>
  <si>
    <t>Coyote</t>
    <phoneticPr fontId="7" type="noConversion"/>
  </si>
  <si>
    <t>Brave·Left Hand</t>
    <phoneticPr fontId="7" type="noConversion"/>
  </si>
  <si>
    <t>Brave·Right Hand</t>
    <phoneticPr fontId="7" type="noConversion"/>
  </si>
  <si>
    <t>Oathblade</t>
    <phoneticPr fontId="7" type="noConversion"/>
  </si>
  <si>
    <t>虚空之笼</t>
    <phoneticPr fontId="7" type="noConversion"/>
  </si>
  <si>
    <t>虚空之锁</t>
    <phoneticPr fontId="7" type="noConversion"/>
  </si>
  <si>
    <t>Void Cage</t>
    <phoneticPr fontId="7" type="noConversion"/>
  </si>
  <si>
    <t>Void Lock</t>
    <phoneticPr fontId="7" type="noConversion"/>
  </si>
  <si>
    <t>Rat</t>
    <phoneticPr fontId="7" type="noConversion"/>
  </si>
  <si>
    <t>大鼠</t>
    <phoneticPr fontId="7" type="noConversion"/>
  </si>
  <si>
    <t>Rat King</t>
    <phoneticPr fontId="7" type="noConversion"/>
  </si>
  <si>
    <t>鼠王</t>
    <phoneticPr fontId="7" type="noConversion"/>
  </si>
  <si>
    <t>Frog</t>
    <phoneticPr fontId="7" type="noConversion"/>
  </si>
  <si>
    <t>Horse</t>
    <phoneticPr fontId="7" type="noConversion"/>
  </si>
  <si>
    <t>青蛙</t>
    <phoneticPr fontId="7" type="noConversion"/>
  </si>
  <si>
    <t>马</t>
    <phoneticPr fontId="7" type="noConversion"/>
  </si>
  <si>
    <t>Fruit Fly</t>
    <phoneticPr fontId="7" type="noConversion"/>
  </si>
  <si>
    <t>果蝇</t>
    <phoneticPr fontId="7" type="noConversion"/>
  </si>
  <si>
    <t>Unsoiled Seed</t>
    <phoneticPr fontId="7" type="noConversion"/>
  </si>
  <si>
    <t>Evergreen</t>
    <phoneticPr fontId="7" type="noConversion"/>
  </si>
  <si>
    <t>常青</t>
    <phoneticPr fontId="7" type="noConversion"/>
  </si>
  <si>
    <t>Unhatch Being</t>
    <phoneticPr fontId="7" type="noConversion"/>
  </si>
  <si>
    <t>未破壳的生灵</t>
    <phoneticPr fontId="7" type="noConversion"/>
  </si>
  <si>
    <t>White Dove</t>
    <phoneticPr fontId="7" type="noConversion"/>
  </si>
  <si>
    <t>白鸽</t>
    <phoneticPr fontId="7" type="noConversion"/>
  </si>
  <si>
    <t>凤凰</t>
    <phoneticPr fontId="7" type="noConversion"/>
  </si>
  <si>
    <t>Child</t>
    <phoneticPr fontId="7" type="noConversion"/>
  </si>
  <si>
    <t>孩提</t>
    <phoneticPr fontId="7" type="noConversion"/>
  </si>
  <si>
    <t>尘封之心</t>
    <phoneticPr fontId="7" type="noConversion"/>
  </si>
  <si>
    <t>浪人</t>
    <phoneticPr fontId="7" type="noConversion"/>
  </si>
  <si>
    <t>Mortis</t>
    <phoneticPr fontId="7" type="noConversion"/>
  </si>
  <si>
    <t>亡魂</t>
    <phoneticPr fontId="7" type="noConversion"/>
  </si>
  <si>
    <t>Slasher</t>
    <phoneticPr fontId="7" type="noConversion"/>
  </si>
  <si>
    <t>人斩</t>
    <phoneticPr fontId="7" type="noConversion"/>
  </si>
  <si>
    <t>秽染流浪者</t>
    <phoneticPr fontId="7" type="noConversion"/>
  </si>
  <si>
    <t>持殿</t>
    <phoneticPr fontId="7" type="noConversion"/>
  </si>
  <si>
    <t>雅典娜</t>
    <phoneticPr fontId="7" type="noConversion"/>
  </si>
  <si>
    <t>Skyburner</t>
    <phoneticPr fontId="7" type="noConversion"/>
  </si>
  <si>
    <t>焚天</t>
    <phoneticPr fontId="7" type="noConversion"/>
  </si>
  <si>
    <t>Unquenched Flame</t>
    <phoneticPr fontId="7" type="noConversion"/>
  </si>
  <si>
    <t>Phoenix</t>
    <phoneticPr fontId="7" type="noConversion"/>
  </si>
  <si>
    <t>Dust-Sealed Heart</t>
    <phoneticPr fontId="7" type="noConversion"/>
  </si>
  <si>
    <t>Ronin</t>
    <phoneticPr fontId="7" type="noConversion"/>
  </si>
  <si>
    <t>Tainted Gipsy</t>
    <phoneticPr fontId="7" type="noConversion"/>
  </si>
  <si>
    <t>Hall-warden</t>
    <phoneticPr fontId="7" type="noConversion"/>
  </si>
  <si>
    <t>Athena</t>
    <phoneticPr fontId="7" type="noConversion"/>
  </si>
  <si>
    <t>Hand of Corruption</t>
    <phoneticPr fontId="7" type="noConversion"/>
  </si>
  <si>
    <t>污玷之手</t>
    <phoneticPr fontId="7" type="noConversion"/>
  </si>
  <si>
    <t>Bellicose</t>
    <phoneticPr fontId="7" type="noConversion"/>
  </si>
  <si>
    <t>Protective</t>
    <phoneticPr fontId="7" type="noConversion"/>
  </si>
  <si>
    <t>Fucked</t>
    <phoneticPr fontId="7" type="noConversion"/>
  </si>
  <si>
    <t>Arrogant</t>
    <phoneticPr fontId="7" type="noConversion"/>
  </si>
  <si>
    <t>Cowardly</t>
    <phoneticPr fontId="7" type="noConversion"/>
  </si>
  <si>
    <t>Friendly</t>
    <phoneticPr fontId="7" type="noConversion"/>
  </si>
  <si>
    <t>Commmon</t>
  </si>
  <si>
    <t>Commmon</t>
    <phoneticPr fontId="7" type="noConversion"/>
  </si>
  <si>
    <t>Elite</t>
    <phoneticPr fontId="7" type="noConversion"/>
  </si>
  <si>
    <t>BOSS</t>
    <phoneticPr fontId="7" type="noConversion"/>
  </si>
  <si>
    <t>["sword"]</t>
  </si>
  <si>
    <t>["sword"]</t>
    <phoneticPr fontId="7" type="noConversion"/>
  </si>
  <si>
    <t>["bullet"]</t>
    <phoneticPr fontId="7" type="noConversion"/>
  </si>
  <si>
    <t>["comeon"]</t>
    <phoneticPr fontId="7" type="noConversion"/>
  </si>
  <si>
    <t>["bullet","RPG"]</t>
    <phoneticPr fontId="7" type="noConversion"/>
  </si>
  <si>
    <t>["ghost_sever","spirit_sever"]</t>
    <phoneticPr fontId="7" type="noConversion"/>
  </si>
  <si>
    <t>["bullet","RPG","double_RPG"]</t>
    <phoneticPr fontId="7" type="noConversion"/>
  </si>
  <si>
    <t>["RPG","double_RPG"]</t>
    <phoneticPr fontId="7" type="noConversion"/>
  </si>
  <si>
    <t>["spirit_sever"]</t>
    <phoneticPr fontId="7" type="noConversion"/>
  </si>
  <si>
    <t>["laser_cannon"]</t>
    <phoneticPr fontId="7" type="noConversion"/>
  </si>
  <si>
    <t>MonsterDescription</t>
    <phoneticPr fontId="7" type="noConversion"/>
  </si>
  <si>
    <t>[0,1,0]</t>
    <phoneticPr fontId="7" type="noConversion"/>
  </si>
  <si>
    <t>Prism Dancer_1</t>
    <phoneticPr fontId="7" type="noConversion"/>
  </si>
  <si>
    <t>Prism Dancer_2</t>
    <phoneticPr fontId="7" type="noConversion"/>
  </si>
  <si>
    <t>SkillList</t>
    <phoneticPr fontId="7" type="noConversion"/>
  </si>
  <si>
    <t>[0,0,0]</t>
    <phoneticPr fontId="7" type="noConversion"/>
  </si>
  <si>
    <t>未受污的种子</t>
    <phoneticPr fontId="7" type="noConversion"/>
  </si>
  <si>
    <t>未熄灭的薪火</t>
    <phoneticPr fontId="7" type="noConversion"/>
  </si>
  <si>
    <t>4-3</t>
    <phoneticPr fontId="5" type="noConversion"/>
  </si>
  <si>
    <t>5-5</t>
    <phoneticPr fontId="5" type="noConversion"/>
  </si>
  <si>
    <t>1-3</t>
    <phoneticPr fontId="5" type="noConversion"/>
  </si>
  <si>
    <t>Journey Starts</t>
    <phoneticPr fontId="5" type="noConversion"/>
  </si>
  <si>
    <t>Spire</t>
    <phoneticPr fontId="5" type="noConversion"/>
  </si>
  <si>
    <t>Last Stand</t>
    <phoneticPr fontId="5" type="noConversion"/>
  </si>
  <si>
    <t>Protecting The Gentleman</t>
    <phoneticPr fontId="5" type="noConversion"/>
  </si>
  <si>
    <t>Toy Factory</t>
    <phoneticPr fontId="5" type="noConversion"/>
  </si>
  <si>
    <t>Fight for Passing</t>
    <phoneticPr fontId="5" type="noConversion"/>
  </si>
  <si>
    <t>The Ambush</t>
    <phoneticPr fontId="5" type="noConversion"/>
  </si>
  <si>
    <t>Void</t>
    <phoneticPr fontId="5" type="noConversion"/>
  </si>
  <si>
    <t>Dark Blade</t>
  </si>
  <si>
    <t>The Swordman's Spirit</t>
  </si>
  <si>
    <t>City Entrance Trial</t>
  </si>
  <si>
    <t>Robbery</t>
    <phoneticPr fontId="5" type="noConversion"/>
  </si>
  <si>
    <t>Pest Control</t>
  </si>
  <si>
    <t>Original Cathedral</t>
    <phoneticPr fontId="5" type="noConversion"/>
  </si>
  <si>
    <t>Anonymous Pages of Years</t>
  </si>
  <si>
    <t>Demiurge</t>
    <phoneticPr fontId="5" type="noConversion"/>
  </si>
  <si>
    <t>Mirror World</t>
  </si>
  <si>
    <t>Limnophobia</t>
    <phoneticPr fontId="5" type="noConversion"/>
  </si>
  <si>
    <t>The Hunt</t>
    <phoneticPr fontId="5" type="noConversion"/>
  </si>
  <si>
    <t>Hot Zone</t>
    <phoneticPr fontId="5" type="noConversion"/>
  </si>
  <si>
    <t>Abyss of Pale</t>
  </si>
  <si>
    <t>Persistence of Childhood</t>
    <phoneticPr fontId="5" type="noConversion"/>
  </si>
  <si>
    <t>Terminus of Childhood</t>
  </si>
  <si>
    <t>玩具制造工厂</t>
    <phoneticPr fontId="5" type="noConversion"/>
  </si>
  <si>
    <t>通关武牒</t>
    <phoneticPr fontId="5" type="noConversion"/>
  </si>
  <si>
    <t>危机四伏</t>
    <phoneticPr fontId="5" type="noConversion"/>
  </si>
  <si>
    <t>狩猎</t>
    <phoneticPr fontId="5" type="noConversion"/>
  </si>
  <si>
    <t>虚空</t>
    <phoneticPr fontId="5" type="noConversion"/>
  </si>
  <si>
    <t>暗夜之刃</t>
    <phoneticPr fontId="5" type="noConversion"/>
  </si>
  <si>
    <t>宗师</t>
    <phoneticPr fontId="5" type="noConversion"/>
  </si>
  <si>
    <t>入城考验</t>
    <phoneticPr fontId="5" type="noConversion"/>
  </si>
  <si>
    <t>抢劫</t>
    <phoneticPr fontId="5" type="noConversion"/>
  </si>
  <si>
    <t>替天行道</t>
    <phoneticPr fontId="5" type="noConversion"/>
  </si>
  <si>
    <t>原初圣殿</t>
    <phoneticPr fontId="5" type="noConversion"/>
  </si>
  <si>
    <t>无名书</t>
    <phoneticPr fontId="5" type="noConversion"/>
  </si>
  <si>
    <t>“创世神”</t>
    <phoneticPr fontId="5" type="noConversion"/>
  </si>
  <si>
    <t>镜·世界</t>
    <phoneticPr fontId="5" type="noConversion"/>
  </si>
  <si>
    <t>深水恐惧</t>
    <phoneticPr fontId="5" type="noConversion"/>
  </si>
  <si>
    <t>交火带</t>
    <phoneticPr fontId="5" type="noConversion"/>
  </si>
  <si>
    <t>夷！为！平！地！</t>
    <phoneticPr fontId="5" type="noConversion"/>
  </si>
  <si>
    <t>使徒</t>
    <phoneticPr fontId="5" type="noConversion"/>
  </si>
  <si>
    <t>丛林低语</t>
    <phoneticPr fontId="5" type="noConversion"/>
  </si>
  <si>
    <t>勇者之证</t>
    <phoneticPr fontId="5" type="noConversion"/>
  </si>
  <si>
    <t>虚空结界</t>
    <phoneticPr fontId="5" type="noConversion"/>
  </si>
  <si>
    <t>苍白深渊</t>
    <phoneticPr fontId="5" type="noConversion"/>
  </si>
  <si>
    <t>童年的诞生</t>
    <phoneticPr fontId="5" type="noConversion"/>
  </si>
  <si>
    <t>童年的存续</t>
    <phoneticPr fontId="5" type="noConversion"/>
  </si>
  <si>
    <t>童年的消逝</t>
    <phoneticPr fontId="5" type="noConversion"/>
  </si>
  <si>
    <t>童年的终结</t>
    <phoneticPr fontId="5" type="noConversion"/>
  </si>
  <si>
    <t>[["Toy Grunt"]]</t>
    <phoneticPr fontId="5" type="noConversion"/>
  </si>
  <si>
    <t>[["Toy Warrior","Toy Guardian"]]</t>
    <phoneticPr fontId="5" type="noConversion"/>
  </si>
  <si>
    <t>[["Toy Minion", "Toy Minion","Toy Minion","Toy Minion"],["Toy Warrior","Toy Guardian","Toy Minion"]]</t>
    <phoneticPr fontId="5" type="noConversion"/>
  </si>
  <si>
    <t>[["Toy Warrior","Toy Warrior","Toy Warrior"]]</t>
    <phoneticPr fontId="5" type="noConversion"/>
  </si>
  <si>
    <t>[["Toy Factory"]]</t>
    <phoneticPr fontId="5" type="noConversion"/>
  </si>
  <si>
    <t>[["Swordsman of Faith"]]</t>
    <phoneticPr fontId="5" type="noConversion"/>
  </si>
  <si>
    <t>[["Novice Assassin","Novice Assassin","Novice Assassin","Novice Assassin"],["Black Coat","Furious Skunk"]]</t>
    <phoneticPr fontId="5" type="noConversion"/>
  </si>
  <si>
    <t>[["Furious Skunk","Skunk Slave"],["Skunk Chieftain"]]</t>
    <phoneticPr fontId="5" type="noConversion"/>
  </si>
  <si>
    <t>[["Shadow of Void","Chronos Hand","Mnemosyne Hand"]]</t>
    <phoneticPr fontId="5" type="noConversion"/>
  </si>
  <si>
    <t>[["Dagger of Void","Dagger of Void","Dagger of Void"],["Sword of Shadow"]]</t>
    <phoneticPr fontId="5" type="noConversion"/>
  </si>
  <si>
    <t>[["Stronghold Chieftain"]]</t>
    <phoneticPr fontId="5" type="noConversion"/>
  </si>
  <si>
    <t>1-5</t>
    <phoneticPr fontId="5" type="noConversion"/>
  </si>
  <si>
    <t>[]</t>
    <phoneticPr fontId="5" type="noConversion"/>
  </si>
  <si>
    <t>3-4</t>
    <phoneticPr fontId="5" type="noConversion"/>
  </si>
  <si>
    <t>3-6</t>
    <phoneticPr fontId="5" type="noConversion"/>
  </si>
  <si>
    <t>Wipe It! Off The Map!</t>
    <phoneticPr fontId="5" type="noConversion"/>
  </si>
  <si>
    <t>4-4</t>
    <phoneticPr fontId="5" type="noConversion"/>
  </si>
  <si>
    <t>Void Apostle</t>
    <phoneticPr fontId="5" type="noConversion"/>
  </si>
  <si>
    <t>4-5</t>
    <phoneticPr fontId="5" type="noConversion"/>
  </si>
  <si>
    <t>Murmuring Jungle</t>
    <phoneticPr fontId="5" type="noConversion"/>
  </si>
  <si>
    <t>4-6</t>
    <phoneticPr fontId="5" type="noConversion"/>
  </si>
  <si>
    <t>Brave's Ordeal</t>
    <phoneticPr fontId="5" type="noConversion"/>
  </si>
  <si>
    <t>Void Ward</t>
    <phoneticPr fontId="5" type="noConversion"/>
  </si>
  <si>
    <t>5-3</t>
    <phoneticPr fontId="5" type="noConversion"/>
  </si>
  <si>
    <t>Genesis of Childhood</t>
    <phoneticPr fontId="5" type="noConversion"/>
  </si>
  <si>
    <t>5-4</t>
    <phoneticPr fontId="5" type="noConversion"/>
  </si>
  <si>
    <t>Disappearance of Childhood</t>
    <phoneticPr fontId="5" type="noConversion"/>
  </si>
  <si>
    <t>5-6</t>
    <phoneticPr fontId="5" type="noConversion"/>
  </si>
  <si>
    <t>[["Arbiter of Divine","Judge of Divine"]]</t>
    <phoneticPr fontId="5" type="noConversion"/>
  </si>
  <si>
    <t>[["Huntaro","Weasel Bandit","Butaro"]]</t>
    <phoneticPr fontId="5" type="noConversion"/>
  </si>
  <si>
    <t>[["One-Eye","Weasel Lackey","Weasel Lackey"]]</t>
    <phoneticPr fontId="5" type="noConversion"/>
  </si>
  <si>
    <t>[["Guard Captain","Left Guard","Right Guard"]]</t>
    <phoneticPr fontId="5" type="noConversion"/>
  </si>
  <si>
    <t>[["Shadow_2","Shadow_3","Shadow_1"]]</t>
    <phoneticPr fontId="5" type="noConversion"/>
  </si>
  <si>
    <t>[["Hand-Mirage","Cleric"]]</t>
    <phoneticPr fontId="5" type="noConversion"/>
  </si>
  <si>
    <t>[["Prism Dancer_1","Prism Dancer_2"]]</t>
    <phoneticPr fontId="5" type="noConversion"/>
  </si>
  <si>
    <t>[["Bog Sage","Bog Monkey","Bog Monkey"]]</t>
    <phoneticPr fontId="5" type="noConversion"/>
  </si>
  <si>
    <t>[["Tiger","Rubber Logistics Soldier","Rubber Logistics Soldier","Rubber Logistics Soldier"],["Ghost Warrior","Ghost Warrior","Ghost Warrior","Ghost Warrior"]]</t>
    <phoneticPr fontId="5" type="noConversion"/>
  </si>
  <si>
    <t>[["Gustav Railway Cannon","Rubber Logistics Soldier","Rubber Logistics Soldier","Rubber Artillery","Rubber Artillery"]]</t>
    <phoneticPr fontId="5" type="noConversion"/>
  </si>
  <si>
    <t>[["Voidwarden of Pale","Voidwarden of Abyss"]]</t>
    <phoneticPr fontId="5" type="noConversion"/>
  </si>
  <si>
    <t>[["Cursed Tree"]]</t>
    <phoneticPr fontId="5" type="noConversion"/>
  </si>
  <si>
    <t>[["Fear","Brave·Left Hand","Brave·Right Hand"],["Brave of Old"]]</t>
    <phoneticPr fontId="5" type="noConversion"/>
  </si>
  <si>
    <t>[["Void Cage","Void Lock"]]</t>
    <phoneticPr fontId="5" type="noConversion"/>
  </si>
  <si>
    <t>[["Rat King","Rat","Rat","Rat"],["Horse","Frog","Fruit Fly"]]</t>
    <phoneticPr fontId="5" type="noConversion"/>
  </si>
  <si>
    <t>[["Unsoiled Seed","Unhatched Being","Unquenched Flame"]]</t>
    <phoneticPr fontId="5" type="noConversion"/>
  </si>
  <si>
    <t>[["Child","Dust-Sealed Heart"],["Slasher","Ronin","Ronin","Ronin","Ronin"]]</t>
    <phoneticPr fontId="5" type="noConversion"/>
  </si>
  <si>
    <t>[["Tainted Gipsy"],["Skyburner","Hall-warden","Athena"]]</t>
    <phoneticPr fontId="5" type="noConversion"/>
  </si>
  <si>
    <t>[["Hand of Corruption"]]</t>
    <phoneticPr fontId="5" type="noConversion"/>
  </si>
  <si>
    <t>EmotionChange_DamagedBased</t>
  </si>
  <si>
    <t>EmotionChange_DamagingBased</t>
  </si>
  <si>
    <t>贱贱的</t>
  </si>
  <si>
    <t>Protective</t>
  </si>
  <si>
    <t>保护的</t>
  </si>
  <si>
    <t>[0,3,0]</t>
    <phoneticPr fontId="7" type="noConversion"/>
  </si>
  <si>
    <t>["ghost_sever"]</t>
    <phoneticPr fontId="7" type="noConversion"/>
  </si>
  <si>
    <t>[]</t>
    <phoneticPr fontId="7" type="noConversion"/>
  </si>
  <si>
    <t>["Save Me!!!"]</t>
    <phoneticPr fontId="7" type="noConversion"/>
  </si>
  <si>
    <t>["Toy Assembly Line","Castle Guardian"]</t>
    <phoneticPr fontId="7" type="noConversion"/>
  </si>
  <si>
    <t>["Fight Again"]</t>
    <phoneticPr fontId="7" type="noConversion"/>
  </si>
  <si>
    <t>["Waraxe Dance"]</t>
    <phoneticPr fontId="7" type="noConversion"/>
  </si>
  <si>
    <t>["Intimidation","Void Servant","Devour the Stars","Morphing Remains"]</t>
    <phoneticPr fontId="7" type="noConversion"/>
  </si>
  <si>
    <t>["Charge"]</t>
    <phoneticPr fontId="7" type="noConversion"/>
  </si>
  <si>
    <t>["Time Reversal"]</t>
    <phoneticPr fontId="7" type="noConversion"/>
  </si>
  <si>
    <t>["Cocooning"]</t>
    <phoneticPr fontId="7" type="noConversion"/>
  </si>
  <si>
    <t>["Strengthen with Battle"]</t>
    <phoneticPr fontId="7" type="noConversion"/>
  </si>
  <si>
    <t>["Dark Embrace"]</t>
    <phoneticPr fontId="7" type="noConversion"/>
  </si>
  <si>
    <t>["Enlightenment on High Fort","Critical Strike"]</t>
    <phoneticPr fontId="7" type="noConversion"/>
  </si>
  <si>
    <t>["Adjudication"]</t>
    <phoneticPr fontId="7" type="noConversion"/>
  </si>
  <si>
    <t>["Judgment"]</t>
    <phoneticPr fontId="7" type="noConversion"/>
  </si>
  <si>
    <t>["Prismatic Essence"]</t>
    <phoneticPr fontId="7" type="noConversion"/>
  </si>
  <si>
    <t>["Tactical Turtle"]</t>
    <phoneticPr fontId="7" type="noConversion"/>
  </si>
  <si>
    <t>["Blazing Armor"]</t>
    <phoneticPr fontId="7" type="noConversion"/>
  </si>
  <si>
    <t>["Simulacrum","Loot in Chaos"]</t>
    <phoneticPr fontId="7" type="noConversion"/>
  </si>
  <si>
    <t>["Blessing","Divine Retribution"]</t>
    <phoneticPr fontId="7" type="noConversion"/>
  </si>
  <si>
    <t>["Dual Genesis","Fluid Dance Morphology","Mirror Shred","Ethereal Emergence","Crystal Bloom","Final Curtain"]</t>
    <phoneticPr fontId="7" type="noConversion"/>
  </si>
  <si>
    <t>["Water Warding Incantation"]</t>
    <phoneticPr fontId="7" type="noConversion"/>
  </si>
  <si>
    <t>["Supply Line"]</t>
    <phoneticPr fontId="7" type="noConversion"/>
  </si>
  <si>
    <t>["88mm Tank Gun","Body of Steel"]</t>
    <phoneticPr fontId="7" type="noConversion"/>
  </si>
  <si>
    <t>["Will-o'-the-Wisp Rekindled"]</t>
    <phoneticPr fontId="7" type="noConversion"/>
  </si>
  <si>
    <t>["800mm Railgun","Assemble"]</t>
    <phoneticPr fontId="7" type="noConversion"/>
  </si>
  <si>
    <t>["Load Shells"]</t>
    <phoneticPr fontId="7" type="noConversion"/>
  </si>
  <si>
    <t>["White Specter's Tear","Shared Origin_Pale"]</t>
    <phoneticPr fontId="7" type="noConversion"/>
  </si>
  <si>
    <t>["Black Specter's Wing","Shared Origin_Abyss"]</t>
    <phoneticPr fontId="7" type="noConversion"/>
  </si>
  <si>
    <t>["Animism"]</t>
    <phoneticPr fontId="7" type="noConversion"/>
  </si>
  <si>
    <t>["Run Wild and Crash"]</t>
    <phoneticPr fontId="7" type="noConversion"/>
  </si>
  <si>
    <t>["Entangle"]</t>
    <phoneticPr fontId="7" type="noConversion"/>
  </si>
  <si>
    <t>["Pouncing Strike"]</t>
    <phoneticPr fontId="7" type="noConversion"/>
  </si>
  <si>
    <t>["Left Hand"]</t>
    <phoneticPr fontId="7" type="noConversion"/>
  </si>
  <si>
    <t>["Right Hand"]</t>
    <phoneticPr fontId="7" type="noConversion"/>
  </si>
  <si>
    <t>["Linked Hearts","Fear No More!"]</t>
    <phoneticPr fontId="7" type="noConversion"/>
  </si>
  <si>
    <t>["Wavebreaker"]</t>
    <phoneticPr fontId="7" type="noConversion"/>
  </si>
  <si>
    <t>["Critical Strike","Heroic Soul Endures"]</t>
    <phoneticPr fontId="7" type="noConversion"/>
  </si>
  <si>
    <t>["Determined Strike"]</t>
    <phoneticPr fontId="7" type="noConversion"/>
  </si>
  <si>
    <t>["Dragon Slaying Blade","Echo of Legend"]</t>
    <phoneticPr fontId="7" type="noConversion"/>
  </si>
  <si>
    <t>["Prison Cage"]</t>
    <phoneticPr fontId="7" type="noConversion"/>
  </si>
  <si>
    <t>["Shackles"]</t>
    <phoneticPr fontId="7" type="noConversion"/>
  </si>
  <si>
    <t>["Run Amok"]</t>
    <phoneticPr fontId="7" type="noConversion"/>
  </si>
  <si>
    <t>["Rat Swarm Rampage"]</t>
    <phoneticPr fontId="7" type="noConversion"/>
  </si>
  <si>
    <t>["Reflex Arc"]</t>
    <phoneticPr fontId="7" type="noConversion"/>
  </si>
  <si>
    <t>["Stem Cell"]</t>
    <phoneticPr fontId="7" type="noConversion"/>
  </si>
  <si>
    <t>["Endless"]</t>
    <phoneticPr fontId="7" type="noConversion"/>
  </si>
  <si>
    <t>["Grow"]</t>
    <phoneticPr fontId="7" type="noConversion"/>
  </si>
  <si>
    <t>["Guardian's Shade"]</t>
    <phoneticPr fontId="7" type="noConversion"/>
  </si>
  <si>
    <t>["Hatch"]</t>
    <phoneticPr fontId="7" type="noConversion"/>
  </si>
  <si>
    <t>["Song of Peace"]</t>
    <phoneticPr fontId="7" type="noConversion"/>
  </si>
  <si>
    <t>["Born of Blazing Fire"]</t>
    <phoneticPr fontId="7" type="noConversion"/>
  </si>
  <si>
    <t>["Immolation","Raging Lotus Flame"]</t>
    <phoneticPr fontId="7" type="noConversion"/>
  </si>
  <si>
    <t>["Hello World!","Toward Tomorrow"]</t>
    <phoneticPr fontId="7" type="noConversion"/>
  </si>
  <si>
    <t>["Trial by Fire"]</t>
    <phoneticPr fontId="7" type="noConversion"/>
  </si>
  <si>
    <t>["Deathrattle"]</t>
    <phoneticPr fontId="7" type="noConversion"/>
  </si>
  <si>
    <t>["Soul Severance"]</t>
    <phoneticPr fontId="7" type="noConversion"/>
  </si>
  <si>
    <t>["Fiend on Earth","Soul Severance Field"]</t>
    <phoneticPr fontId="7" type="noConversion"/>
  </si>
  <si>
    <t>["Energy-Converging Armor","Over-Limit Strike","Core Eruption"]</t>
    <phoneticPr fontId="7" type="noConversion"/>
  </si>
  <si>
    <t>["FX-9 Incendiary Bomb"]</t>
    <phoneticPr fontId="7" type="noConversion"/>
  </si>
  <si>
    <t>["Dance of Combustion","True Form of Crimson Lotus"]</t>
    <phoneticPr fontId="7" type="noConversion"/>
  </si>
  <si>
    <t>["FX-1 Flammable Agent","FX-5 Shotgun"]</t>
    <phoneticPr fontId="7" type="noConversion"/>
  </si>
  <si>
    <t>["Fallen Creator God","Creation","Power to Rule the World","Lash the Universe","Annihilate, Slay, Destroy"]</t>
    <phoneticPr fontId="7" type="noConversion"/>
  </si>
  <si>
    <t>需要补完</t>
    <phoneticPr fontId="7" type="noConversion"/>
  </si>
  <si>
    <t>["disarm"]</t>
    <phoneticPr fontId="5" type="noConversion"/>
  </si>
  <si>
    <t>["comeon"]</t>
    <phoneticPr fontId="5" type="noConversion"/>
  </si>
  <si>
    <t>["deflect"]</t>
    <phoneticPr fontId="5" type="noConversion"/>
  </si>
  <si>
    <t>["ghost_sever"]</t>
    <phoneticPr fontId="5" type="noConversion"/>
  </si>
  <si>
    <t>["double_sword","laser_stab"]</t>
    <phoneticPr fontId="5" type="noConversion"/>
  </si>
  <si>
    <t>["spectral_reflection"]</t>
    <phoneticPr fontId="5" type="noConversion"/>
  </si>
  <si>
    <t>["laser_cleave"]</t>
    <phoneticPr fontId="5" type="noConversion"/>
  </si>
  <si>
    <t>["laser_cannon"]</t>
    <phoneticPr fontId="5" type="noConversion"/>
  </si>
  <si>
    <t>["laser_shoot"]</t>
    <phoneticPr fontId="5" type="noConversion"/>
  </si>
  <si>
    <t>["Photophobia"]</t>
    <phoneticPr fontId="7" type="noConversion"/>
  </si>
  <si>
    <t>["Beat Down","Photophobia"]</t>
    <phoneticPr fontId="7" type="noConversion"/>
  </si>
  <si>
    <t>["spirit_sever"]</t>
    <phoneticPr fontId="5" type="noConversion"/>
  </si>
  <si>
    <t>["double_bullet","RPG"]</t>
    <phoneticPr fontId="5" type="noConversion"/>
  </si>
  <si>
    <t>["double_RPG"]</t>
    <phoneticPr fontId="5" type="noConversion"/>
  </si>
  <si>
    <t>["nuclear_bomb"]</t>
    <phoneticPr fontId="5" type="noConversion"/>
  </si>
  <si>
    <t>["sword","stab","counterblade"]</t>
    <phoneticPr fontId="5" type="noConversion"/>
  </si>
  <si>
    <t>["provoke"]</t>
    <phoneticPr fontId="5" type="noConversion"/>
  </si>
  <si>
    <t>["bullet","shoot","block"]</t>
    <phoneticPr fontId="5" type="noConversion"/>
  </si>
  <si>
    <t>["double_shoot","double_block"]</t>
    <phoneticPr fontId="5" type="noConversion"/>
  </si>
  <si>
    <t>["rebounce"]</t>
    <phoneticPr fontId="5" type="noConversion"/>
  </si>
  <si>
    <t>["bullet","shoot","double_shoot","double_block","rebounce"]</t>
    <phoneticPr fontId="5" type="noConversion"/>
  </si>
  <si>
    <t>["Rapid Supply"]</t>
    <phoneticPr fontId="5" type="noConversion"/>
  </si>
  <si>
    <t>["Candlelight Sanctuary"]</t>
    <phoneticPr fontId="5" type="noConversion"/>
  </si>
  <si>
    <t>["Short Dagger"]</t>
    <phoneticPr fontId="5" type="noConversion"/>
  </si>
  <si>
    <t>["Leap Counter"]</t>
    <phoneticPr fontId="5" type="noConversion"/>
  </si>
  <si>
    <t>["Critical Strike"]</t>
    <phoneticPr fontId="5" type="noConversion"/>
  </si>
  <si>
    <t>["Reverse Decision"]</t>
    <phoneticPr fontId="5" type="noConversion"/>
  </si>
  <si>
    <t>["Attract Misfortune"]</t>
    <phoneticPr fontId="5" type="noConversion"/>
  </si>
  <si>
    <t>["Poisoned Sword","Charging Shield"]</t>
    <phoneticPr fontId="5" type="noConversion"/>
  </si>
  <si>
    <t>["Blazing Dance"]</t>
    <phoneticPr fontId="5" type="noConversion"/>
  </si>
  <si>
    <t>["Bloody Brawl"]</t>
    <phoneticPr fontId="5" type="noConversion"/>
  </si>
  <si>
    <t>["Immovable as a Bell"]</t>
    <phoneticPr fontId="5" type="noConversion"/>
  </si>
  <si>
    <t>["Crystal Armor"]</t>
    <phoneticPr fontId="5" type="noConversion"/>
  </si>
  <si>
    <t>["Flawless Defense"]</t>
    <phoneticPr fontId="5" type="noConversion"/>
  </si>
  <si>
    <t>["Cursed Soul's Whisper"]</t>
    <phoneticPr fontId="5" type="noConversion"/>
  </si>
  <si>
    <t>["Forest's Breath"]</t>
    <phoneticPr fontId="5" type="noConversion"/>
  </si>
  <si>
    <t>["Painful Thorns","Territorial Imprisonment"]</t>
    <phoneticPr fontId="5" type="noConversion"/>
  </si>
  <si>
    <t>["Bloodborne Rebirth"]</t>
    <phoneticPr fontId="5" type="noConversion"/>
  </si>
  <si>
    <t>["Purification Amulet"]</t>
    <phoneticPr fontId="5" type="noConversion"/>
  </si>
  <si>
    <t>["Enlighten"]</t>
    <phoneticPr fontId="5" type="noConversion"/>
  </si>
  <si>
    <t>["Fight to the Death"]</t>
    <phoneticPr fontId="5" type="noConversion"/>
  </si>
  <si>
    <t>["Mist Shadow Sword"]</t>
    <phoneticPr fontId="5" type="noConversion"/>
  </si>
  <si>
    <t>["Battle on All Sides"]</t>
    <phoneticPr fontId="5" type="noConversion"/>
  </si>
  <si>
    <t>UnlockedSkillFinal</t>
    <phoneticPr fontId="5" type="noConversion"/>
  </si>
  <si>
    <t>["Feedback"]</t>
    <phoneticPr fontId="5" type="noConversion"/>
  </si>
  <si>
    <t>[2,0,0]</t>
    <phoneticPr fontId="5" type="noConversion"/>
  </si>
  <si>
    <t>[0,0,0]</t>
    <phoneticPr fontId="5" type="noConversion"/>
  </si>
  <si>
    <t>逆刃</t>
    <phoneticPr fontId="7" type="noConversion"/>
  </si>
  <si>
    <t>Counter-Blade</t>
    <phoneticPr fontId="7" type="noConversion"/>
  </si>
  <si>
    <t>["Nine-Headed Dragon Flash","Counter-Blade"]</t>
    <phoneticPr fontId="7" type="noConversion"/>
  </si>
  <si>
    <t>["sword","cleave"]</t>
    <phoneticPr fontId="7" type="noConversion"/>
  </si>
  <si>
    <t>["shoot","double_shoot"]</t>
    <phoneticPr fontId="7" type="noConversion"/>
  </si>
  <si>
    <t>["bullet","sword"]</t>
    <phoneticPr fontId="7" type="noConversion"/>
  </si>
  <si>
    <t>[2,2,0]</t>
    <phoneticPr fontId="7" type="noConversion"/>
  </si>
  <si>
    <t>[0,6,0]</t>
    <phoneticPr fontId="7" type="noConversion"/>
  </si>
  <si>
    <t>[0,12,0]</t>
    <phoneticPr fontId="7" type="noConversion"/>
  </si>
  <si>
    <t>[0,5,0]</t>
    <phoneticPr fontId="7" type="noConversion"/>
  </si>
  <si>
    <t>[3,0,0]</t>
    <phoneticPr fontId="7" type="noConversion"/>
  </si>
  <si>
    <t>[0,7,0]</t>
    <phoneticPr fontId="7" type="noConversion"/>
  </si>
  <si>
    <t>MonsterType</t>
    <phoneticPr fontId="7" type="noConversion"/>
  </si>
  <si>
    <t>PreferedAction</t>
    <phoneticPr fontId="7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</si>
  <si>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["Toy Gentleman"</t>
    </r>
    <r>
      <rPr>
        <sz val="10"/>
        <color theme="1"/>
        <rFont val="宋体"/>
        <family val="3"/>
        <charset val="134"/>
      </rPr>
      <t>]</t>
    </r>
    <r>
      <rPr>
        <sz val="10"/>
        <color theme="1"/>
        <rFont val="宋体"/>
        <family val="3"/>
        <charset val="134"/>
      </rPr>
      <t>]</t>
    </r>
    <phoneticPr fontId="5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</si>
  <si>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["Entity of Will"]</t>
    </r>
    <r>
      <rPr>
        <sz val="10"/>
        <color theme="1"/>
        <rFont val="宋体"/>
        <family val="3"/>
        <charset val="134"/>
      </rPr>
      <t>]</t>
    </r>
    <phoneticPr fontId="5" type="noConversion"/>
  </si>
  <si>
    <r>
      <rPr>
        <sz val="10"/>
        <color theme="1"/>
        <rFont val="宋体"/>
        <family val="3"/>
        <charset val="134"/>
      </rPr>
      <t>[</t>
    </r>
    <r>
      <rPr>
        <sz val="10"/>
        <color theme="1"/>
        <rFont val="宋体"/>
        <family val="3"/>
        <charset val="134"/>
      </rPr>
      <t>["Counter-Blade"]</t>
    </r>
    <r>
      <rPr>
        <sz val="10"/>
        <color theme="1"/>
        <rFont val="宋体"/>
        <family val="3"/>
        <charset val="134"/>
      </rPr>
      <t>]</t>
    </r>
    <phoneticPr fontId="5" type="noConversion"/>
  </si>
  <si>
    <t>[["Counter-Blade"]]</t>
    <phoneticPr fontId="5" type="noConversion"/>
  </si>
  <si>
    <t>["sword","ghost_sever"]</t>
    <phoneticPr fontId="7" type="noConversion"/>
  </si>
  <si>
    <t>NextLevel</t>
    <phoneticPr fontId="5" type="noConversion"/>
  </si>
  <si>
    <t>PreviousLevel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</si>
</sst>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等线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rgb="FFFF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5" tint="0.79998168889431442"/>
        <bgColor theme="4" tint="0.79995117038483843"/>
      </patternFill>
    </fill>
    <fill>
      <patternFill patternType="solid">
        <fgColor theme="7" tint="0.79998168889431442"/>
        <bgColor theme="4" tint="0.7999511703848384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511703848384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theme="4" tint="0.79995117038483843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theme="4" tint="0.79995117038483843"/>
      </patternFill>
    </fill>
  </fills>
  <borders count="11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1"/>
      </bottom>
      <diagonal/>
    </border>
    <border>
      <left style="thin">
        <color theme="4" tint="0.39994506668294322"/>
      </left>
      <right style="thin">
        <color theme="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1"/>
      </bottom>
      <diagonal/>
    </border>
    <border>
      <left style="thin">
        <color theme="1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4" tint="0.3999450666829432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176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6" fillId="10" borderId="0" xfId="0" applyFont="1" applyFill="1" applyAlignment="1">
      <alignment horizont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/>
    </xf>
    <xf numFmtId="176" fontId="6" fillId="6" borderId="8" xfId="0" applyNumberFormat="1" applyFont="1" applyFill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wrapText="1"/>
    </xf>
    <xf numFmtId="176" fontId="1" fillId="7" borderId="9" xfId="0" applyNumberFormat="1" applyFont="1" applyFill="1" applyBorder="1" applyAlignment="1">
      <alignment horizontal="center" vertical="center" wrapText="1"/>
    </xf>
    <xf numFmtId="176" fontId="1" fillId="7" borderId="10" xfId="0" applyNumberFormat="1" applyFont="1" applyFill="1" applyBorder="1" applyAlignment="1">
      <alignment horizontal="center" vertical="center" wrapText="1"/>
    </xf>
    <xf numFmtId="176" fontId="1" fillId="4" borderId="4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 wrapText="1"/>
    </xf>
    <xf numFmtId="176" fontId="1" fillId="11" borderId="1" xfId="0" applyNumberFormat="1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/>
    </xf>
    <xf numFmtId="49" fontId="6" fillId="10" borderId="0" xfId="0" applyNumberFormat="1" applyFont="1" applyFill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</cellXfs>
  <cellStyles count="1">
    <cellStyle name="常规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zoomScale="145" zoomScaleNormal="145" workbookViewId="0">
      <selection activeCell="E9" sqref="E9"/>
    </sheetView>
  </sheetViews>
  <sheetFormatPr defaultColWidth="8.9140625" defaultRowHeight="13" x14ac:dyDescent="0.25"/>
  <cols>
    <col min="1" max="1" width="11.6640625" style="11" bestFit="1" customWidth="1"/>
    <col min="2" max="2" width="12.9140625" style="11" bestFit="1" customWidth="1"/>
    <col min="3" max="3" width="7.25" style="11" bestFit="1" customWidth="1"/>
    <col min="4" max="4" width="12.9140625" style="11" bestFit="1" customWidth="1"/>
    <col min="5" max="5" width="28.75" style="11" bestFit="1" customWidth="1"/>
    <col min="6" max="6" width="32.4140625" style="11" bestFit="1" customWidth="1"/>
    <col min="7" max="7" width="33.6640625" style="11" bestFit="1" customWidth="1"/>
    <col min="8" max="9" width="12.9140625" style="11" bestFit="1" customWidth="1"/>
    <col min="10" max="10" width="17.08203125" style="11" customWidth="1"/>
    <col min="11" max="11" width="16.58203125" style="11" customWidth="1"/>
    <col min="12" max="16384" width="8.9140625" style="11"/>
  </cols>
  <sheetData>
    <row r="1" spans="1:13" x14ac:dyDescent="0.25">
      <c r="A1" s="3" t="s">
        <v>0</v>
      </c>
      <c r="B1" s="3" t="s">
        <v>1</v>
      </c>
      <c r="C1" s="3" t="s">
        <v>3</v>
      </c>
      <c r="D1" s="3" t="s">
        <v>49</v>
      </c>
      <c r="E1" s="3" t="s">
        <v>50</v>
      </c>
      <c r="F1" s="3" t="s">
        <v>352</v>
      </c>
      <c r="G1" s="3" t="s">
        <v>353</v>
      </c>
      <c r="H1" s="3" t="s">
        <v>51</v>
      </c>
      <c r="I1" s="3" t="s">
        <v>52</v>
      </c>
      <c r="J1" s="3"/>
      <c r="K1" s="3"/>
      <c r="L1" s="3"/>
      <c r="M1" s="3"/>
    </row>
    <row r="2" spans="1:13" x14ac:dyDescent="0.25">
      <c r="A2" s="6" t="s">
        <v>15</v>
      </c>
      <c r="B2" s="7" t="s">
        <v>15</v>
      </c>
      <c r="C2" s="7" t="s">
        <v>53</v>
      </c>
      <c r="D2" s="7">
        <v>4</v>
      </c>
      <c r="E2" s="7">
        <v>-1</v>
      </c>
      <c r="F2" s="7">
        <v>4</v>
      </c>
      <c r="G2" s="7">
        <v>-1</v>
      </c>
      <c r="H2" s="7">
        <v>10</v>
      </c>
      <c r="I2" s="7">
        <v>3</v>
      </c>
      <c r="J2" s="7"/>
      <c r="K2" s="7"/>
      <c r="L2" s="7"/>
      <c r="M2" s="7"/>
    </row>
    <row r="3" spans="1:13" x14ac:dyDescent="0.25">
      <c r="A3" s="9" t="s">
        <v>21</v>
      </c>
      <c r="B3" s="10" t="s">
        <v>21</v>
      </c>
      <c r="C3" s="10" t="s">
        <v>354</v>
      </c>
      <c r="D3" s="10">
        <v>2</v>
      </c>
      <c r="E3" s="10">
        <v>1</v>
      </c>
      <c r="F3" s="10">
        <v>-5</v>
      </c>
      <c r="G3" s="10">
        <v>5</v>
      </c>
      <c r="H3" s="10">
        <v>10</v>
      </c>
      <c r="I3" s="10">
        <v>0</v>
      </c>
      <c r="J3" s="10"/>
      <c r="K3" s="10"/>
      <c r="L3" s="10"/>
      <c r="M3" s="10"/>
    </row>
    <row r="4" spans="1:13" x14ac:dyDescent="0.25">
      <c r="A4" s="7" t="s">
        <v>355</v>
      </c>
      <c r="B4" s="7" t="s">
        <v>355</v>
      </c>
      <c r="C4" s="7" t="s">
        <v>356</v>
      </c>
      <c r="D4" s="7">
        <v>2</v>
      </c>
      <c r="E4" s="7">
        <v>-1</v>
      </c>
      <c r="F4" s="7">
        <v>4</v>
      </c>
      <c r="G4" s="7">
        <v>-2</v>
      </c>
      <c r="H4" s="7">
        <v>10</v>
      </c>
      <c r="I4" s="7">
        <v>0</v>
      </c>
      <c r="J4" s="7"/>
      <c r="K4" s="7"/>
      <c r="L4" s="7"/>
      <c r="M4" s="7"/>
    </row>
    <row r="5" spans="1:13" x14ac:dyDescent="0.25">
      <c r="A5" s="11" t="s">
        <v>14</v>
      </c>
      <c r="B5" s="11" t="s">
        <v>14</v>
      </c>
      <c r="C5" s="11" t="s">
        <v>54</v>
      </c>
      <c r="D5" s="11">
        <v>2</v>
      </c>
      <c r="E5" s="11">
        <v>1</v>
      </c>
      <c r="F5" s="11">
        <v>-3</v>
      </c>
      <c r="G5" s="11">
        <v>-3</v>
      </c>
      <c r="H5" s="11">
        <v>8</v>
      </c>
      <c r="I5" s="11">
        <v>0</v>
      </c>
    </row>
    <row r="6" spans="1:13" x14ac:dyDescent="0.25">
      <c r="A6" s="6" t="s">
        <v>13</v>
      </c>
      <c r="B6" s="7" t="s">
        <v>13</v>
      </c>
      <c r="C6" s="7" t="s">
        <v>55</v>
      </c>
      <c r="D6" s="7">
        <v>7</v>
      </c>
      <c r="E6" s="7">
        <v>1</v>
      </c>
      <c r="F6" s="7">
        <v>1</v>
      </c>
      <c r="G6" s="7">
        <v>2</v>
      </c>
      <c r="H6" s="7">
        <v>10</v>
      </c>
      <c r="I6" s="7">
        <v>0</v>
      </c>
      <c r="J6" s="7"/>
      <c r="K6" s="7"/>
      <c r="L6" s="7"/>
      <c r="M6" s="7"/>
    </row>
    <row r="7" spans="1:13" x14ac:dyDescent="0.25">
      <c r="A7" s="11" t="s">
        <v>10</v>
      </c>
      <c r="B7" s="11" t="s">
        <v>10</v>
      </c>
      <c r="C7" s="11" t="s">
        <v>56</v>
      </c>
      <c r="D7" s="11">
        <v>5</v>
      </c>
      <c r="E7" s="11">
        <v>1</v>
      </c>
      <c r="F7" s="11">
        <v>5</v>
      </c>
      <c r="G7" s="11">
        <v>-3</v>
      </c>
      <c r="H7" s="11">
        <v>8</v>
      </c>
      <c r="I7" s="11">
        <v>0</v>
      </c>
    </row>
    <row r="8" spans="1:13" x14ac:dyDescent="0.25">
      <c r="A8" s="6"/>
      <c r="B8" s="13"/>
      <c r="C8" s="7"/>
      <c r="D8" s="13"/>
      <c r="E8" s="7"/>
      <c r="F8" s="7"/>
      <c r="G8" s="7"/>
      <c r="H8" s="7"/>
      <c r="I8" s="7"/>
      <c r="J8" s="7"/>
      <c r="K8" s="7"/>
      <c r="L8" s="7"/>
      <c r="M8" s="7"/>
    </row>
  </sheetData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opLeftCell="D1" zoomScale="160" zoomScaleNormal="160" workbookViewId="0">
      <selection activeCell="E19" sqref="E19"/>
    </sheetView>
  </sheetViews>
  <sheetFormatPr defaultColWidth="8.9140625" defaultRowHeight="13" x14ac:dyDescent="0.25"/>
  <cols>
    <col min="1" max="2" width="9.58203125" style="1" customWidth="1"/>
    <col min="3" max="3" width="8.9140625" style="1"/>
    <col min="4" max="4" width="30" style="1" customWidth="1"/>
    <col min="5" max="5" width="33.6640625" style="1" customWidth="1"/>
    <col min="6" max="6" width="19" style="1" customWidth="1"/>
    <col min="7" max="8" width="26.33203125" style="1" customWidth="1"/>
    <col min="9" max="16384" width="8.9140625" style="1"/>
  </cols>
  <sheetData>
    <row r="1" spans="1:9" x14ac:dyDescent="0.25">
      <c r="A1" s="2" t="s">
        <v>0</v>
      </c>
      <c r="B1" s="3" t="s">
        <v>1</v>
      </c>
      <c r="C1" s="3" t="s">
        <v>3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/>
    </row>
    <row r="2" spans="1:9" x14ac:dyDescent="0.25">
      <c r="A2" s="4" t="s">
        <v>62</v>
      </c>
      <c r="B2" s="5" t="s">
        <v>62</v>
      </c>
      <c r="C2" s="6" t="s">
        <v>63</v>
      </c>
      <c r="D2" s="6">
        <v>7</v>
      </c>
      <c r="E2" s="7">
        <v>100</v>
      </c>
      <c r="F2" s="7" t="s">
        <v>64</v>
      </c>
      <c r="G2" s="7">
        <v>0.7</v>
      </c>
      <c r="H2" s="7">
        <v>0.7</v>
      </c>
      <c r="I2" s="7"/>
    </row>
    <row r="3" spans="1:9" x14ac:dyDescent="0.25">
      <c r="A3" s="8" t="s">
        <v>65</v>
      </c>
      <c r="B3" s="8" t="s">
        <v>65</v>
      </c>
      <c r="C3" s="9" t="s">
        <v>66</v>
      </c>
      <c r="D3" s="9">
        <v>3</v>
      </c>
      <c r="E3" s="10">
        <v>7</v>
      </c>
      <c r="F3" s="10" t="s">
        <v>67</v>
      </c>
      <c r="G3" s="10">
        <v>0.4</v>
      </c>
      <c r="H3" s="10">
        <v>0.4</v>
      </c>
      <c r="I3" s="10"/>
    </row>
    <row r="4" spans="1:9" x14ac:dyDescent="0.25">
      <c r="A4" s="4" t="s">
        <v>68</v>
      </c>
      <c r="B4" s="4" t="s">
        <v>68</v>
      </c>
      <c r="C4" s="6" t="s">
        <v>69</v>
      </c>
      <c r="D4" s="6">
        <v>0</v>
      </c>
      <c r="E4" s="7">
        <v>3</v>
      </c>
      <c r="F4" s="7" t="s">
        <v>70</v>
      </c>
      <c r="G4" s="7">
        <v>0.3</v>
      </c>
      <c r="H4" s="7">
        <v>0.3</v>
      </c>
      <c r="I4" s="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showGridLines="0" topLeftCell="D22" zoomScale="115" zoomScaleNormal="115" workbookViewId="0">
      <selection activeCell="H45" sqref="H45"/>
    </sheetView>
  </sheetViews>
  <sheetFormatPr defaultColWidth="8.75" defaultRowHeight="13" x14ac:dyDescent="0.25"/>
  <cols>
    <col min="1" max="2" width="27.08203125" style="11" bestFit="1" customWidth="1"/>
    <col min="3" max="3" width="15.25" style="16" bestFit="1" customWidth="1"/>
    <col min="4" max="5" width="12.75" style="16" bestFit="1" customWidth="1"/>
    <col min="6" max="6" width="9.58203125" style="16" bestFit="1" customWidth="1"/>
    <col min="7" max="7" width="33.6640625" style="16" bestFit="1" customWidth="1"/>
    <col min="8" max="8" width="27.08203125" style="11" bestFit="1" customWidth="1"/>
    <col min="9" max="9" width="17.25" style="11" bestFit="1" customWidth="1"/>
    <col min="10" max="10" width="6.58203125" style="11" bestFit="1" customWidth="1"/>
    <col min="11" max="11" width="10.58203125" style="11" bestFit="1" customWidth="1"/>
    <col min="12" max="12" width="17.25" style="11" bestFit="1" customWidth="1"/>
    <col min="13" max="13" width="24.9140625" style="11" bestFit="1" customWidth="1"/>
    <col min="14" max="14" width="120.33203125" style="11" bestFit="1" customWidth="1"/>
    <col min="15" max="16384" width="8.75" style="11"/>
  </cols>
  <sheetData>
    <row r="1" spans="1:17" ht="13.75" customHeight="1" x14ac:dyDescent="0.25">
      <c r="A1" s="24" t="s">
        <v>0</v>
      </c>
      <c r="B1" s="22" t="s">
        <v>1</v>
      </c>
      <c r="C1" s="22" t="s">
        <v>3</v>
      </c>
      <c r="D1" s="22" t="s">
        <v>2</v>
      </c>
      <c r="E1" s="36" t="s">
        <v>481</v>
      </c>
      <c r="F1" s="22" t="s">
        <v>4</v>
      </c>
      <c r="G1" s="36" t="s">
        <v>482</v>
      </c>
      <c r="H1" s="22" t="s">
        <v>8</v>
      </c>
      <c r="I1" s="22" t="s">
        <v>9</v>
      </c>
      <c r="J1" s="22" t="s">
        <v>5</v>
      </c>
      <c r="K1" s="22" t="s">
        <v>6</v>
      </c>
      <c r="L1" s="22" t="s">
        <v>7</v>
      </c>
      <c r="M1" s="36" t="s">
        <v>245</v>
      </c>
      <c r="N1" s="36" t="s">
        <v>249</v>
      </c>
      <c r="O1" s="22"/>
      <c r="P1" s="22"/>
      <c r="Q1" s="22"/>
    </row>
    <row r="2" spans="1:17" ht="13.75" customHeight="1" x14ac:dyDescent="0.25">
      <c r="A2" s="4" t="s">
        <v>79</v>
      </c>
      <c r="B2" s="4" t="str">
        <f>A2</f>
        <v>Toy Grunt</v>
      </c>
      <c r="C2" s="26" t="s">
        <v>80</v>
      </c>
      <c r="D2" s="6" t="s">
        <v>10</v>
      </c>
      <c r="E2" s="26" t="s">
        <v>232</v>
      </c>
      <c r="F2" s="26" t="b">
        <v>0</v>
      </c>
      <c r="G2" s="26"/>
      <c r="H2" s="6" t="s">
        <v>359</v>
      </c>
      <c r="I2" s="26" t="s">
        <v>11</v>
      </c>
      <c r="J2" s="6">
        <v>2</v>
      </c>
      <c r="K2" s="6">
        <f>J2</f>
        <v>2</v>
      </c>
      <c r="L2" s="26" t="s">
        <v>250</v>
      </c>
      <c r="M2" s="26" t="s">
        <v>421</v>
      </c>
      <c r="N2" s="26" t="s">
        <v>359</v>
      </c>
      <c r="O2" s="6"/>
      <c r="P2" s="6"/>
      <c r="Q2" s="6"/>
    </row>
    <row r="3" spans="1:17" ht="13.75" customHeight="1" x14ac:dyDescent="0.25">
      <c r="A3" s="27" t="s">
        <v>81</v>
      </c>
      <c r="B3" s="27" t="str">
        <f t="shared" ref="B3:B21" si="0">A3</f>
        <v>Toy Warrior</v>
      </c>
      <c r="C3" s="27" t="s">
        <v>84</v>
      </c>
      <c r="D3" s="27" t="s">
        <v>225</v>
      </c>
      <c r="E3" s="16" t="s">
        <v>232</v>
      </c>
      <c r="F3" s="16" t="b">
        <v>0</v>
      </c>
      <c r="H3" s="11" t="s">
        <v>359</v>
      </c>
      <c r="I3" s="11" t="s">
        <v>11</v>
      </c>
      <c r="J3" s="11">
        <v>2</v>
      </c>
      <c r="K3" s="11">
        <f t="shared" ref="K3:K67" si="1">J3</f>
        <v>2</v>
      </c>
      <c r="L3" s="16" t="s">
        <v>12</v>
      </c>
      <c r="M3" s="16" t="s">
        <v>421</v>
      </c>
      <c r="N3" s="11" t="s">
        <v>359</v>
      </c>
    </row>
    <row r="4" spans="1:17" ht="13.75" customHeight="1" x14ac:dyDescent="0.25">
      <c r="A4" s="28" t="s">
        <v>82</v>
      </c>
      <c r="B4" s="28" t="str">
        <f t="shared" si="0"/>
        <v>Toy Guardian</v>
      </c>
      <c r="C4" s="26" t="s">
        <v>83</v>
      </c>
      <c r="D4" s="30" t="s">
        <v>226</v>
      </c>
      <c r="E4" s="26" t="s">
        <v>232</v>
      </c>
      <c r="F4" s="6" t="b">
        <v>0</v>
      </c>
      <c r="G4" s="6"/>
      <c r="H4" s="7" t="s">
        <v>11</v>
      </c>
      <c r="I4" s="7" t="s">
        <v>11</v>
      </c>
      <c r="J4" s="7">
        <v>2</v>
      </c>
      <c r="K4" s="7">
        <f t="shared" si="1"/>
        <v>2</v>
      </c>
      <c r="L4" s="6" t="s">
        <v>12</v>
      </c>
      <c r="M4" s="6" t="s">
        <v>421</v>
      </c>
      <c r="N4" s="7" t="s">
        <v>359</v>
      </c>
      <c r="O4" s="7"/>
      <c r="P4" s="7"/>
      <c r="Q4" s="7"/>
    </row>
    <row r="5" spans="1:17" ht="13.75" customHeight="1" x14ac:dyDescent="0.25">
      <c r="A5" s="29" t="s">
        <v>85</v>
      </c>
      <c r="B5" s="29" t="str">
        <f t="shared" si="0"/>
        <v>Toy Minion</v>
      </c>
      <c r="C5" s="27" t="s">
        <v>86</v>
      </c>
      <c r="D5" s="16" t="s">
        <v>13</v>
      </c>
      <c r="E5" s="16" t="s">
        <v>231</v>
      </c>
      <c r="F5" s="16" t="b">
        <v>0</v>
      </c>
      <c r="H5" s="11" t="s">
        <v>11</v>
      </c>
      <c r="I5" s="11" t="s">
        <v>11</v>
      </c>
      <c r="J5" s="11">
        <v>1</v>
      </c>
      <c r="K5" s="11">
        <f t="shared" si="1"/>
        <v>1</v>
      </c>
      <c r="L5" s="16" t="s">
        <v>12</v>
      </c>
      <c r="M5" s="16" t="s">
        <v>421</v>
      </c>
      <c r="N5" s="11" t="s">
        <v>359</v>
      </c>
    </row>
    <row r="6" spans="1:17" ht="13.75" customHeight="1" x14ac:dyDescent="0.25">
      <c r="A6" s="30" t="s">
        <v>88</v>
      </c>
      <c r="B6" s="30" t="str">
        <f t="shared" si="0"/>
        <v>Toy Gentleman</v>
      </c>
      <c r="C6" s="26" t="s">
        <v>87</v>
      </c>
      <c r="D6" s="6" t="s">
        <v>14</v>
      </c>
      <c r="E6" s="26" t="s">
        <v>233</v>
      </c>
      <c r="F6" s="61" t="b">
        <v>1</v>
      </c>
      <c r="G6" s="6"/>
      <c r="H6" s="7" t="s">
        <v>11</v>
      </c>
      <c r="I6" s="7" t="s">
        <v>11</v>
      </c>
      <c r="J6" s="7">
        <v>4</v>
      </c>
      <c r="K6" s="7">
        <f t="shared" si="1"/>
        <v>4</v>
      </c>
      <c r="L6" s="6" t="s">
        <v>12</v>
      </c>
      <c r="M6" s="6" t="s">
        <v>421</v>
      </c>
      <c r="N6" s="58" t="s">
        <v>360</v>
      </c>
      <c r="O6" s="7"/>
      <c r="P6" s="7"/>
      <c r="Q6" s="7"/>
    </row>
    <row r="7" spans="1:17" ht="13.75" customHeight="1" x14ac:dyDescent="0.25">
      <c r="A7" s="29" t="s">
        <v>89</v>
      </c>
      <c r="B7" s="29" t="str">
        <f t="shared" si="0"/>
        <v>Toy Factory</v>
      </c>
      <c r="C7" s="27" t="s">
        <v>90</v>
      </c>
      <c r="D7" s="16" t="s">
        <v>15</v>
      </c>
      <c r="E7" s="27" t="s">
        <v>234</v>
      </c>
      <c r="F7" s="16" t="b">
        <v>0</v>
      </c>
      <c r="H7" s="29" t="s">
        <v>473</v>
      </c>
      <c r="I7" s="11" t="s">
        <v>11</v>
      </c>
      <c r="J7" s="11">
        <v>7</v>
      </c>
      <c r="K7" s="11">
        <f t="shared" si="1"/>
        <v>7</v>
      </c>
      <c r="L7" s="16" t="s">
        <v>12</v>
      </c>
      <c r="M7" s="16" t="s">
        <v>421</v>
      </c>
      <c r="N7" s="29" t="s">
        <v>361</v>
      </c>
    </row>
    <row r="8" spans="1:17" ht="13.75" customHeight="1" x14ac:dyDescent="0.25">
      <c r="A8" s="33" t="s">
        <v>91</v>
      </c>
      <c r="B8" s="33" t="str">
        <f t="shared" si="0"/>
        <v>Swordsman of Faith</v>
      </c>
      <c r="C8" s="33" t="s">
        <v>99</v>
      </c>
      <c r="D8" s="33" t="s">
        <v>228</v>
      </c>
      <c r="E8" s="33" t="s">
        <v>233</v>
      </c>
      <c r="F8" s="33" t="b">
        <v>0</v>
      </c>
      <c r="G8" s="33"/>
      <c r="H8" s="33" t="s">
        <v>237</v>
      </c>
      <c r="I8" s="33" t="s">
        <v>11</v>
      </c>
      <c r="J8" s="33">
        <v>4</v>
      </c>
      <c r="K8" s="33">
        <f t="shared" si="1"/>
        <v>4</v>
      </c>
      <c r="L8" s="33" t="s">
        <v>250</v>
      </c>
      <c r="M8" s="33" t="s">
        <v>421</v>
      </c>
      <c r="N8" s="33" t="s">
        <v>362</v>
      </c>
      <c r="O8" s="33"/>
      <c r="P8" s="33"/>
      <c r="Q8" s="33"/>
    </row>
    <row r="9" spans="1:17" ht="13.75" customHeight="1" x14ac:dyDescent="0.25">
      <c r="A9" s="11" t="s">
        <v>17</v>
      </c>
      <c r="B9" s="11" t="str">
        <f t="shared" si="0"/>
        <v>Novice Assassin</v>
      </c>
      <c r="C9" s="11" t="s">
        <v>18</v>
      </c>
      <c r="D9" s="11" t="s">
        <v>13</v>
      </c>
      <c r="E9" s="11" t="s">
        <v>232</v>
      </c>
      <c r="F9" s="11" t="b">
        <v>0</v>
      </c>
      <c r="G9" s="11"/>
      <c r="H9" s="11" t="s">
        <v>16</v>
      </c>
      <c r="I9" s="11" t="s">
        <v>11</v>
      </c>
      <c r="J9" s="11">
        <v>1</v>
      </c>
      <c r="K9" s="11">
        <f t="shared" si="1"/>
        <v>1</v>
      </c>
      <c r="L9" s="11" t="s">
        <v>12</v>
      </c>
      <c r="M9" s="11" t="s">
        <v>421</v>
      </c>
      <c r="N9" s="11" t="s">
        <v>359</v>
      </c>
    </row>
    <row r="10" spans="1:17" ht="13.75" customHeight="1" x14ac:dyDescent="0.25">
      <c r="A10" s="32" t="s">
        <v>19</v>
      </c>
      <c r="B10" s="32" t="str">
        <f t="shared" si="0"/>
        <v>Black Coat</v>
      </c>
      <c r="C10" s="32" t="s">
        <v>20</v>
      </c>
      <c r="D10" s="32" t="s">
        <v>227</v>
      </c>
      <c r="E10" s="32" t="s">
        <v>232</v>
      </c>
      <c r="F10" s="32" t="b">
        <v>0</v>
      </c>
      <c r="G10" s="32"/>
      <c r="H10" s="32" t="s">
        <v>16</v>
      </c>
      <c r="I10" s="32" t="s">
        <v>11</v>
      </c>
      <c r="J10" s="32">
        <v>3</v>
      </c>
      <c r="K10" s="32">
        <f t="shared" si="1"/>
        <v>3</v>
      </c>
      <c r="L10" s="32" t="s">
        <v>12</v>
      </c>
      <c r="M10" s="32" t="s">
        <v>421</v>
      </c>
      <c r="N10" s="32" t="s">
        <v>359</v>
      </c>
      <c r="O10" s="32"/>
      <c r="P10" s="32"/>
      <c r="Q10" s="32"/>
    </row>
    <row r="11" spans="1:17" ht="13.75" customHeight="1" x14ac:dyDescent="0.25">
      <c r="A11" s="11" t="s">
        <v>92</v>
      </c>
      <c r="B11" s="11" t="str">
        <f t="shared" si="0"/>
        <v>Furious Skunk</v>
      </c>
      <c r="C11" s="11" t="s">
        <v>97</v>
      </c>
      <c r="D11" s="11" t="s">
        <v>225</v>
      </c>
      <c r="E11" s="11" t="s">
        <v>233</v>
      </c>
      <c r="F11" s="11" t="b">
        <v>0</v>
      </c>
      <c r="G11" s="11"/>
      <c r="H11" s="11" t="s">
        <v>16</v>
      </c>
      <c r="I11" s="11" t="s">
        <v>11</v>
      </c>
      <c r="J11" s="11">
        <v>5</v>
      </c>
      <c r="K11" s="11">
        <f t="shared" si="1"/>
        <v>5</v>
      </c>
      <c r="L11" s="11" t="s">
        <v>12</v>
      </c>
      <c r="M11" s="11" t="s">
        <v>421</v>
      </c>
      <c r="N11" s="11" t="s">
        <v>359</v>
      </c>
    </row>
    <row r="12" spans="1:17" ht="13.75" customHeight="1" x14ac:dyDescent="0.25">
      <c r="A12" s="32" t="s">
        <v>93</v>
      </c>
      <c r="B12" s="32" t="str">
        <f t="shared" si="0"/>
        <v>Skunk Slave</v>
      </c>
      <c r="C12" s="32" t="s">
        <v>22</v>
      </c>
      <c r="D12" s="32" t="s">
        <v>21</v>
      </c>
      <c r="E12" s="32" t="s">
        <v>232</v>
      </c>
      <c r="F12" s="32" t="b">
        <v>0</v>
      </c>
      <c r="G12" s="32"/>
      <c r="H12" s="32" t="s">
        <v>16</v>
      </c>
      <c r="I12" s="32" t="s">
        <v>11</v>
      </c>
      <c r="J12" s="32">
        <v>2</v>
      </c>
      <c r="K12" s="32">
        <f t="shared" si="1"/>
        <v>2</v>
      </c>
      <c r="L12" s="32" t="s">
        <v>12</v>
      </c>
      <c r="M12" s="32" t="s">
        <v>421</v>
      </c>
      <c r="N12" s="32" t="s">
        <v>359</v>
      </c>
      <c r="O12" s="32"/>
      <c r="P12" s="32"/>
      <c r="Q12" s="32"/>
    </row>
    <row r="13" spans="1:17" ht="13.75" customHeight="1" x14ac:dyDescent="0.25">
      <c r="A13" s="11" t="s">
        <v>23</v>
      </c>
      <c r="B13" s="11" t="str">
        <f t="shared" si="0"/>
        <v>Skunk Chieftain</v>
      </c>
      <c r="C13" s="11" t="s">
        <v>24</v>
      </c>
      <c r="D13" s="11" t="s">
        <v>21</v>
      </c>
      <c r="E13" s="11" t="s">
        <v>233</v>
      </c>
      <c r="F13" s="11" t="b">
        <v>0</v>
      </c>
      <c r="G13" s="11" t="s">
        <v>236</v>
      </c>
      <c r="H13" s="11" t="s">
        <v>11</v>
      </c>
      <c r="I13" s="11" t="s">
        <v>11</v>
      </c>
      <c r="J13" s="11">
        <v>7</v>
      </c>
      <c r="K13" s="11">
        <f t="shared" si="1"/>
        <v>7</v>
      </c>
      <c r="L13" s="11" t="s">
        <v>12</v>
      </c>
      <c r="M13" s="11" t="s">
        <v>421</v>
      </c>
      <c r="N13" s="29" t="s">
        <v>363</v>
      </c>
    </row>
    <row r="14" spans="1:17" ht="13.75" customHeight="1" x14ac:dyDescent="0.25">
      <c r="A14" s="33" t="s">
        <v>98</v>
      </c>
      <c r="B14" s="33" t="str">
        <f t="shared" si="0"/>
        <v>Shadow of Void</v>
      </c>
      <c r="C14" s="33" t="s">
        <v>96</v>
      </c>
      <c r="D14" s="33" t="s">
        <v>228</v>
      </c>
      <c r="E14" s="33" t="s">
        <v>234</v>
      </c>
      <c r="F14" s="33" t="b">
        <v>0</v>
      </c>
      <c r="G14" s="33"/>
      <c r="H14" s="33" t="s">
        <v>11</v>
      </c>
      <c r="I14" s="33" t="s">
        <v>11</v>
      </c>
      <c r="J14" s="33">
        <v>6</v>
      </c>
      <c r="K14" s="33">
        <f t="shared" si="1"/>
        <v>6</v>
      </c>
      <c r="L14" s="33" t="s">
        <v>250</v>
      </c>
      <c r="M14" s="33" t="s">
        <v>421</v>
      </c>
      <c r="N14" s="33" t="s">
        <v>364</v>
      </c>
      <c r="O14" s="33"/>
      <c r="P14" s="33"/>
      <c r="Q14" s="33"/>
    </row>
    <row r="15" spans="1:17" ht="13.75" customHeight="1" x14ac:dyDescent="0.25">
      <c r="A15" s="11" t="s">
        <v>94</v>
      </c>
      <c r="B15" s="11" t="str">
        <f t="shared" si="0"/>
        <v>Void Beast</v>
      </c>
      <c r="C15" s="11" t="s">
        <v>95</v>
      </c>
      <c r="D15" s="11" t="s">
        <v>225</v>
      </c>
      <c r="E15" s="11" t="s">
        <v>232</v>
      </c>
      <c r="F15" s="11" t="b">
        <v>0</v>
      </c>
      <c r="G15" s="11" t="s">
        <v>235</v>
      </c>
      <c r="H15" s="11" t="s">
        <v>11</v>
      </c>
      <c r="I15" s="11" t="s">
        <v>11</v>
      </c>
      <c r="J15" s="11">
        <v>1</v>
      </c>
      <c r="K15" s="11">
        <f t="shared" si="1"/>
        <v>1</v>
      </c>
      <c r="L15" s="11" t="s">
        <v>246</v>
      </c>
      <c r="M15" s="11" t="s">
        <v>421</v>
      </c>
      <c r="N15" s="29" t="s">
        <v>365</v>
      </c>
    </row>
    <row r="16" spans="1:17" ht="13.75" customHeight="1" x14ac:dyDescent="0.25">
      <c r="A16" s="32" t="s">
        <v>100</v>
      </c>
      <c r="B16" s="32" t="str">
        <f t="shared" si="0"/>
        <v>Chronos Hand</v>
      </c>
      <c r="C16" s="32" t="s">
        <v>101</v>
      </c>
      <c r="D16" s="32" t="s">
        <v>226</v>
      </c>
      <c r="E16" s="32" t="s">
        <v>233</v>
      </c>
      <c r="F16" s="32" t="b">
        <v>0</v>
      </c>
      <c r="G16" s="32" t="s">
        <v>237</v>
      </c>
      <c r="H16" s="32" t="s">
        <v>11</v>
      </c>
      <c r="I16" s="32" t="s">
        <v>11</v>
      </c>
      <c r="J16" s="32">
        <v>3</v>
      </c>
      <c r="K16" s="32">
        <f t="shared" si="1"/>
        <v>3</v>
      </c>
      <c r="L16" s="32" t="s">
        <v>12</v>
      </c>
      <c r="M16" s="32" t="s">
        <v>421</v>
      </c>
      <c r="N16" s="33" t="s">
        <v>366</v>
      </c>
      <c r="O16" s="32"/>
      <c r="P16" s="32"/>
      <c r="Q16" s="32"/>
    </row>
    <row r="17" spans="1:17" ht="13.75" customHeight="1" x14ac:dyDescent="0.25">
      <c r="A17" s="11" t="s">
        <v>104</v>
      </c>
      <c r="B17" s="11" t="str">
        <f t="shared" si="0"/>
        <v>Mnemosyne Hand</v>
      </c>
      <c r="C17" s="11" t="s">
        <v>102</v>
      </c>
      <c r="D17" s="11" t="s">
        <v>228</v>
      </c>
      <c r="E17" s="11" t="s">
        <v>233</v>
      </c>
      <c r="F17" s="11" t="b">
        <v>0</v>
      </c>
      <c r="G17" s="11" t="s">
        <v>235</v>
      </c>
      <c r="H17" s="11" t="s">
        <v>11</v>
      </c>
      <c r="I17" s="11" t="s">
        <v>11</v>
      </c>
      <c r="J17" s="40">
        <v>3</v>
      </c>
      <c r="K17" s="40">
        <f t="shared" si="1"/>
        <v>3</v>
      </c>
      <c r="L17" s="11" t="s">
        <v>12</v>
      </c>
      <c r="M17" s="11" t="s">
        <v>421</v>
      </c>
      <c r="N17" s="29" t="s">
        <v>367</v>
      </c>
    </row>
    <row r="18" spans="1:17" ht="13.75" customHeight="1" x14ac:dyDescent="0.25">
      <c r="A18" s="32" t="s">
        <v>105</v>
      </c>
      <c r="B18" s="32" t="str">
        <f t="shared" si="0"/>
        <v>Entity of Will</v>
      </c>
      <c r="C18" s="32" t="s">
        <v>103</v>
      </c>
      <c r="D18" s="32" t="s">
        <v>228</v>
      </c>
      <c r="E18" s="32" t="s">
        <v>233</v>
      </c>
      <c r="F18" s="54" t="b">
        <v>1</v>
      </c>
      <c r="G18" s="32"/>
      <c r="H18" s="32" t="s">
        <v>11</v>
      </c>
      <c r="I18" s="50" t="s">
        <v>11</v>
      </c>
      <c r="J18" s="49"/>
      <c r="K18" s="48"/>
      <c r="L18" s="47" t="s">
        <v>12</v>
      </c>
      <c r="M18" s="32" t="s">
        <v>421</v>
      </c>
      <c r="N18" s="33" t="s">
        <v>368</v>
      </c>
      <c r="O18" s="32"/>
      <c r="P18" s="32"/>
      <c r="Q18" s="32"/>
    </row>
    <row r="19" spans="1:17" ht="13.75" customHeight="1" x14ac:dyDescent="0.25">
      <c r="A19" s="11" t="s">
        <v>25</v>
      </c>
      <c r="B19" s="11" t="str">
        <f t="shared" si="0"/>
        <v>Dagger of Void</v>
      </c>
      <c r="C19" s="11" t="s">
        <v>108</v>
      </c>
      <c r="D19" s="11" t="s">
        <v>225</v>
      </c>
      <c r="E19" s="11" t="s">
        <v>232</v>
      </c>
      <c r="F19" s="11" t="b">
        <v>0</v>
      </c>
      <c r="G19" s="11"/>
      <c r="H19" s="11" t="s">
        <v>237</v>
      </c>
      <c r="I19" s="11" t="s">
        <v>11</v>
      </c>
      <c r="J19" s="11">
        <v>3</v>
      </c>
      <c r="K19" s="11">
        <f t="shared" si="1"/>
        <v>3</v>
      </c>
      <c r="L19" s="11" t="s">
        <v>12</v>
      </c>
      <c r="M19" s="11" t="s">
        <v>421</v>
      </c>
      <c r="N19" s="11" t="s">
        <v>359</v>
      </c>
    </row>
    <row r="20" spans="1:17" ht="13.75" customHeight="1" x14ac:dyDescent="0.25">
      <c r="A20" s="32" t="s">
        <v>106</v>
      </c>
      <c r="B20" s="32" t="str">
        <f t="shared" si="0"/>
        <v>Sword of Shadow</v>
      </c>
      <c r="C20" s="32" t="s">
        <v>109</v>
      </c>
      <c r="D20" s="32" t="s">
        <v>225</v>
      </c>
      <c r="E20" s="32" t="s">
        <v>233</v>
      </c>
      <c r="F20" s="32" t="b">
        <v>0</v>
      </c>
      <c r="G20" s="32"/>
      <c r="H20" s="32" t="s">
        <v>16</v>
      </c>
      <c r="I20" s="33" t="s">
        <v>358</v>
      </c>
      <c r="J20" s="32">
        <v>2</v>
      </c>
      <c r="K20" s="32">
        <f t="shared" si="1"/>
        <v>2</v>
      </c>
      <c r="L20" s="33" t="s">
        <v>476</v>
      </c>
      <c r="M20" s="32" t="s">
        <v>421</v>
      </c>
      <c r="N20" s="33" t="s">
        <v>369</v>
      </c>
      <c r="O20" s="32"/>
      <c r="P20" s="32"/>
      <c r="Q20" s="32"/>
    </row>
    <row r="21" spans="1:17" ht="13.75" customHeight="1" x14ac:dyDescent="0.25">
      <c r="A21" s="11" t="s">
        <v>107</v>
      </c>
      <c r="B21" s="11" t="str">
        <f t="shared" si="0"/>
        <v>Stronghold Chieftain</v>
      </c>
      <c r="C21" s="27" t="s">
        <v>110</v>
      </c>
      <c r="D21" s="27" t="s">
        <v>228</v>
      </c>
      <c r="E21" s="27" t="s">
        <v>234</v>
      </c>
      <c r="F21" s="29" t="b">
        <v>0</v>
      </c>
      <c r="G21" s="16" t="s">
        <v>487</v>
      </c>
      <c r="H21" s="11" t="s">
        <v>11</v>
      </c>
      <c r="I21" s="11" t="s">
        <v>11</v>
      </c>
      <c r="J21" s="11">
        <v>16</v>
      </c>
      <c r="K21" s="11">
        <f t="shared" si="1"/>
        <v>16</v>
      </c>
      <c r="L21" s="27" t="s">
        <v>357</v>
      </c>
      <c r="M21" s="16" t="s">
        <v>421</v>
      </c>
      <c r="N21" s="29" t="s">
        <v>370</v>
      </c>
    </row>
    <row r="22" spans="1:17" ht="13.75" customHeight="1" x14ac:dyDescent="0.25">
      <c r="A22" s="34" t="s">
        <v>111</v>
      </c>
      <c r="B22" s="34" t="str">
        <f>A22</f>
        <v>Arbiter of Divine</v>
      </c>
      <c r="C22" s="34" t="s">
        <v>112</v>
      </c>
      <c r="D22" s="34" t="s">
        <v>228</v>
      </c>
      <c r="E22" s="34" t="s">
        <v>233</v>
      </c>
      <c r="F22" s="34" t="b">
        <v>0</v>
      </c>
      <c r="G22" s="34" t="s">
        <v>236</v>
      </c>
      <c r="H22" s="34" t="s">
        <v>11</v>
      </c>
      <c r="I22" s="34" t="s">
        <v>11</v>
      </c>
      <c r="J22" s="34">
        <v>5</v>
      </c>
      <c r="K22" s="34">
        <f t="shared" si="1"/>
        <v>5</v>
      </c>
      <c r="L22" s="34" t="s">
        <v>12</v>
      </c>
      <c r="M22" s="34" t="s">
        <v>421</v>
      </c>
      <c r="N22" s="53" t="s">
        <v>371</v>
      </c>
      <c r="O22" s="34"/>
      <c r="P22" s="34"/>
      <c r="Q22" s="34"/>
    </row>
    <row r="23" spans="1:17" ht="13.75" customHeight="1" x14ac:dyDescent="0.25">
      <c r="A23" s="29" t="s">
        <v>113</v>
      </c>
      <c r="B23" s="29" t="str">
        <f t="shared" ref="B23:B81" si="2">A23</f>
        <v>Judge of Divine</v>
      </c>
      <c r="C23" s="29" t="s">
        <v>114</v>
      </c>
      <c r="D23" s="29" t="s">
        <v>225</v>
      </c>
      <c r="E23" s="29" t="s">
        <v>233</v>
      </c>
      <c r="F23" s="29" t="b">
        <v>0</v>
      </c>
      <c r="G23" s="29" t="s">
        <v>237</v>
      </c>
      <c r="H23" s="29" t="s">
        <v>11</v>
      </c>
      <c r="I23" s="29" t="s">
        <v>11</v>
      </c>
      <c r="J23" s="29">
        <v>6</v>
      </c>
      <c r="K23" s="29">
        <f t="shared" si="1"/>
        <v>6</v>
      </c>
      <c r="L23" s="29" t="s">
        <v>250</v>
      </c>
      <c r="M23" s="29" t="s">
        <v>421</v>
      </c>
      <c r="N23" s="29" t="s">
        <v>372</v>
      </c>
      <c r="O23" s="29"/>
      <c r="P23" s="29"/>
      <c r="Q23" s="29"/>
    </row>
    <row r="24" spans="1:17" ht="13.75" customHeight="1" x14ac:dyDescent="0.25">
      <c r="A24" s="34" t="s">
        <v>115</v>
      </c>
      <c r="B24" s="34" t="str">
        <f t="shared" si="2"/>
        <v>Butaro</v>
      </c>
      <c r="C24" s="34" t="s">
        <v>119</v>
      </c>
      <c r="D24" s="34" t="s">
        <v>227</v>
      </c>
      <c r="E24" s="34" t="s">
        <v>232</v>
      </c>
      <c r="F24" s="34" t="b">
        <v>0</v>
      </c>
      <c r="G24" s="34" t="s">
        <v>236</v>
      </c>
      <c r="H24" s="34" t="s">
        <v>11</v>
      </c>
      <c r="I24" s="34" t="s">
        <v>11</v>
      </c>
      <c r="J24" s="34">
        <v>6</v>
      </c>
      <c r="K24" s="34">
        <f t="shared" si="1"/>
        <v>6</v>
      </c>
      <c r="L24" s="34" t="s">
        <v>250</v>
      </c>
      <c r="M24" s="34" t="s">
        <v>421</v>
      </c>
      <c r="N24" s="34" t="s">
        <v>359</v>
      </c>
      <c r="O24" s="34"/>
      <c r="P24" s="34"/>
      <c r="Q24" s="34"/>
    </row>
    <row r="25" spans="1:17" ht="13.75" customHeight="1" x14ac:dyDescent="0.25">
      <c r="A25" s="29" t="s">
        <v>116</v>
      </c>
      <c r="B25" s="29" t="str">
        <f t="shared" si="2"/>
        <v>Huntaro</v>
      </c>
      <c r="C25" s="29" t="s">
        <v>120</v>
      </c>
      <c r="D25" s="29" t="s">
        <v>227</v>
      </c>
      <c r="E25" s="29" t="s">
        <v>233</v>
      </c>
      <c r="F25" s="29" t="b">
        <v>0</v>
      </c>
      <c r="G25" s="29"/>
      <c r="H25" s="29" t="s">
        <v>11</v>
      </c>
      <c r="I25" s="29" t="s">
        <v>11</v>
      </c>
      <c r="J25" s="29">
        <v>3</v>
      </c>
      <c r="K25" s="29">
        <f t="shared" si="1"/>
        <v>3</v>
      </c>
      <c r="L25" s="29" t="s">
        <v>250</v>
      </c>
      <c r="M25" s="29" t="s">
        <v>421</v>
      </c>
      <c r="N25" s="29" t="s">
        <v>373</v>
      </c>
      <c r="O25" s="29"/>
      <c r="P25" s="29"/>
      <c r="Q25" s="29"/>
    </row>
    <row r="26" spans="1:17" ht="13.75" customHeight="1" x14ac:dyDescent="0.25">
      <c r="A26" s="34" t="s">
        <v>117</v>
      </c>
      <c r="B26" s="34" t="str">
        <f t="shared" si="2"/>
        <v>Weasel Bandit</v>
      </c>
      <c r="C26" s="34" t="s">
        <v>121</v>
      </c>
      <c r="D26" s="34" t="s">
        <v>225</v>
      </c>
      <c r="E26" s="34" t="s">
        <v>232</v>
      </c>
      <c r="F26" s="34" t="b">
        <v>0</v>
      </c>
      <c r="G26" s="34"/>
      <c r="H26" s="34" t="s">
        <v>237</v>
      </c>
      <c r="I26" s="34" t="s">
        <v>11</v>
      </c>
      <c r="J26" s="34">
        <v>4</v>
      </c>
      <c r="K26" s="34">
        <f t="shared" si="1"/>
        <v>4</v>
      </c>
      <c r="L26" s="34" t="s">
        <v>12</v>
      </c>
      <c r="M26" s="34" t="s">
        <v>421</v>
      </c>
      <c r="N26" s="34" t="s">
        <v>359</v>
      </c>
      <c r="O26" s="34"/>
      <c r="P26" s="34"/>
      <c r="Q26" s="34"/>
    </row>
    <row r="27" spans="1:17" ht="13.75" customHeight="1" x14ac:dyDescent="0.25">
      <c r="A27" s="29" t="s">
        <v>138</v>
      </c>
      <c r="B27" s="29" t="str">
        <f t="shared" si="2"/>
        <v>One-Eye</v>
      </c>
      <c r="C27" s="29" t="s">
        <v>122</v>
      </c>
      <c r="D27" s="29" t="s">
        <v>229</v>
      </c>
      <c r="E27" s="29" t="s">
        <v>233</v>
      </c>
      <c r="F27" s="29" t="b">
        <v>0</v>
      </c>
      <c r="G27" s="29"/>
      <c r="H27" s="29" t="s">
        <v>11</v>
      </c>
      <c r="I27" s="29" t="s">
        <v>11</v>
      </c>
      <c r="J27" s="29">
        <v>9</v>
      </c>
      <c r="K27" s="29">
        <f t="shared" si="1"/>
        <v>9</v>
      </c>
      <c r="L27" s="29" t="s">
        <v>250</v>
      </c>
      <c r="M27" s="29" t="s">
        <v>421</v>
      </c>
      <c r="N27" s="29" t="s">
        <v>374</v>
      </c>
      <c r="O27" s="29"/>
      <c r="P27" s="29"/>
      <c r="Q27" s="29"/>
    </row>
    <row r="28" spans="1:17" ht="13.75" customHeight="1" x14ac:dyDescent="0.25">
      <c r="A28" s="34" t="s">
        <v>118</v>
      </c>
      <c r="B28" s="34" t="str">
        <f t="shared" si="2"/>
        <v>Weasel Lackey</v>
      </c>
      <c r="C28" s="34" t="s">
        <v>124</v>
      </c>
      <c r="D28" s="34" t="s">
        <v>229</v>
      </c>
      <c r="E28" s="34" t="s">
        <v>232</v>
      </c>
      <c r="F28" s="34" t="b">
        <v>0</v>
      </c>
      <c r="G28" s="34" t="s">
        <v>236</v>
      </c>
      <c r="H28" s="34" t="s">
        <v>11</v>
      </c>
      <c r="I28" s="34" t="s">
        <v>11</v>
      </c>
      <c r="J28" s="34">
        <v>2</v>
      </c>
      <c r="K28" s="34">
        <f t="shared" si="1"/>
        <v>2</v>
      </c>
      <c r="L28" s="34" t="s">
        <v>12</v>
      </c>
      <c r="M28" s="34" t="s">
        <v>421</v>
      </c>
      <c r="N28" s="34" t="s">
        <v>359</v>
      </c>
      <c r="O28" s="34"/>
      <c r="P28" s="34"/>
      <c r="Q28" s="34"/>
    </row>
    <row r="29" spans="1:17" ht="13.75" customHeight="1" x14ac:dyDescent="0.25">
      <c r="A29" s="29" t="s">
        <v>127</v>
      </c>
      <c r="B29" s="29" t="str">
        <f t="shared" si="2"/>
        <v>Left Guard</v>
      </c>
      <c r="C29" s="29" t="s">
        <v>128</v>
      </c>
      <c r="D29" s="29" t="s">
        <v>226</v>
      </c>
      <c r="E29" s="29" t="s">
        <v>232</v>
      </c>
      <c r="F29" s="29" t="b">
        <v>0</v>
      </c>
      <c r="G29" s="29" t="s">
        <v>237</v>
      </c>
      <c r="H29" s="29" t="s">
        <v>11</v>
      </c>
      <c r="I29" s="29" t="s">
        <v>11</v>
      </c>
      <c r="J29" s="29">
        <v>5</v>
      </c>
      <c r="K29" s="29">
        <f t="shared" si="1"/>
        <v>5</v>
      </c>
      <c r="L29" s="29" t="s">
        <v>250</v>
      </c>
      <c r="M29" s="29" t="s">
        <v>421</v>
      </c>
      <c r="N29" s="29" t="s">
        <v>359</v>
      </c>
      <c r="O29" s="29"/>
      <c r="P29" s="29"/>
      <c r="Q29" s="29"/>
    </row>
    <row r="30" spans="1:17" ht="13.75" customHeight="1" x14ac:dyDescent="0.25">
      <c r="A30" s="34" t="s">
        <v>126</v>
      </c>
      <c r="B30" s="34" t="str">
        <f t="shared" si="2"/>
        <v>Right Guard</v>
      </c>
      <c r="C30" s="34" t="s">
        <v>129</v>
      </c>
      <c r="D30" s="34" t="s">
        <v>226</v>
      </c>
      <c r="E30" s="34" t="s">
        <v>232</v>
      </c>
      <c r="F30" s="34" t="b">
        <v>0</v>
      </c>
      <c r="G30" s="34" t="s">
        <v>236</v>
      </c>
      <c r="H30" s="34" t="s">
        <v>11</v>
      </c>
      <c r="I30" s="34" t="s">
        <v>11</v>
      </c>
      <c r="J30" s="34">
        <v>4</v>
      </c>
      <c r="K30" s="34">
        <f t="shared" si="1"/>
        <v>4</v>
      </c>
      <c r="L30" s="34" t="s">
        <v>250</v>
      </c>
      <c r="M30" s="34" t="s">
        <v>421</v>
      </c>
      <c r="N30" s="34" t="s">
        <v>359</v>
      </c>
      <c r="O30" s="34"/>
      <c r="P30" s="34"/>
      <c r="Q30" s="34"/>
    </row>
    <row r="31" spans="1:17" ht="13.75" customHeight="1" x14ac:dyDescent="0.25">
      <c r="A31" s="29" t="s">
        <v>125</v>
      </c>
      <c r="B31" s="29" t="str">
        <f t="shared" si="2"/>
        <v>Guard Captain</v>
      </c>
      <c r="C31" s="29" t="s">
        <v>130</v>
      </c>
      <c r="D31" s="29" t="s">
        <v>228</v>
      </c>
      <c r="E31" s="29" t="s">
        <v>233</v>
      </c>
      <c r="F31" s="29" t="b">
        <v>0</v>
      </c>
      <c r="G31" s="29"/>
      <c r="H31" s="29" t="s">
        <v>11</v>
      </c>
      <c r="I31" s="29" t="s">
        <v>11</v>
      </c>
      <c r="J31" s="29">
        <v>6</v>
      </c>
      <c r="K31" s="29">
        <f t="shared" si="1"/>
        <v>6</v>
      </c>
      <c r="L31" s="29" t="s">
        <v>250</v>
      </c>
      <c r="M31" s="29" t="s">
        <v>421</v>
      </c>
      <c r="N31" s="29" t="s">
        <v>375</v>
      </c>
      <c r="O31" s="29"/>
      <c r="P31" s="29"/>
      <c r="Q31" s="29"/>
    </row>
    <row r="32" spans="1:17" ht="13.75" customHeight="1" x14ac:dyDescent="0.25">
      <c r="A32" s="53" t="s">
        <v>131</v>
      </c>
      <c r="B32" s="34" t="str">
        <f>A32</f>
        <v>Shadow_1</v>
      </c>
      <c r="C32" s="34" t="s">
        <v>133</v>
      </c>
      <c r="D32" s="34" t="s">
        <v>229</v>
      </c>
      <c r="E32" s="34" t="s">
        <v>232</v>
      </c>
      <c r="F32" s="34" t="b">
        <v>0</v>
      </c>
      <c r="G32" s="53" t="s">
        <v>472</v>
      </c>
      <c r="H32" s="34" t="s">
        <v>11</v>
      </c>
      <c r="I32" s="34" t="s">
        <v>11</v>
      </c>
      <c r="J32" s="34">
        <v>6</v>
      </c>
      <c r="K32" s="34">
        <f t="shared" si="1"/>
        <v>6</v>
      </c>
      <c r="L32" s="34" t="s">
        <v>250</v>
      </c>
      <c r="M32" s="34" t="s">
        <v>421</v>
      </c>
      <c r="N32" s="53" t="s">
        <v>431</v>
      </c>
      <c r="O32" s="34"/>
      <c r="P32" s="34"/>
      <c r="Q32" s="34"/>
    </row>
    <row r="33" spans="1:17" ht="13.75" customHeight="1" x14ac:dyDescent="0.25">
      <c r="A33" s="29" t="s">
        <v>139</v>
      </c>
      <c r="B33" s="29" t="str">
        <f>A33</f>
        <v>Shadow_2</v>
      </c>
      <c r="C33" s="29" t="s">
        <v>133</v>
      </c>
      <c r="D33" s="29" t="s">
        <v>228</v>
      </c>
      <c r="E33" s="29" t="s">
        <v>233</v>
      </c>
      <c r="F33" s="29" t="b">
        <v>0</v>
      </c>
      <c r="G33" s="29" t="s">
        <v>472</v>
      </c>
      <c r="H33" s="29" t="s">
        <v>11</v>
      </c>
      <c r="I33" s="29" t="s">
        <v>11</v>
      </c>
      <c r="J33" s="29">
        <v>8</v>
      </c>
      <c r="K33" s="29">
        <f t="shared" si="1"/>
        <v>8</v>
      </c>
      <c r="L33" s="29" t="s">
        <v>250</v>
      </c>
      <c r="M33" s="29" t="s">
        <v>421</v>
      </c>
      <c r="N33" s="29" t="s">
        <v>432</v>
      </c>
      <c r="O33" s="29"/>
      <c r="P33" s="29"/>
      <c r="Q33" s="29"/>
    </row>
    <row r="34" spans="1:17" ht="13.75" customHeight="1" x14ac:dyDescent="0.25">
      <c r="A34" s="34" t="s">
        <v>132</v>
      </c>
      <c r="B34" s="34" t="str">
        <f t="shared" si="2"/>
        <v>Shadow_3</v>
      </c>
      <c r="C34" s="34" t="s">
        <v>133</v>
      </c>
      <c r="D34" s="34" t="s">
        <v>225</v>
      </c>
      <c r="E34" s="34" t="s">
        <v>232</v>
      </c>
      <c r="F34" s="34" t="b">
        <v>0</v>
      </c>
      <c r="G34" s="34" t="s">
        <v>472</v>
      </c>
      <c r="H34" s="34" t="s">
        <v>11</v>
      </c>
      <c r="I34" s="34" t="s">
        <v>11</v>
      </c>
      <c r="J34" s="34">
        <v>6</v>
      </c>
      <c r="K34" s="34">
        <f t="shared" si="1"/>
        <v>6</v>
      </c>
      <c r="L34" s="34" t="s">
        <v>12</v>
      </c>
      <c r="M34" s="34" t="s">
        <v>421</v>
      </c>
      <c r="N34" s="53" t="s">
        <v>431</v>
      </c>
      <c r="O34" s="34"/>
      <c r="P34" s="34"/>
      <c r="Q34" s="34"/>
    </row>
    <row r="35" spans="1:17" ht="13.75" customHeight="1" x14ac:dyDescent="0.25">
      <c r="A35" s="29" t="s">
        <v>140</v>
      </c>
      <c r="B35" s="29" t="str">
        <f t="shared" si="2"/>
        <v>Hand-Mirage</v>
      </c>
      <c r="C35" s="29" t="s">
        <v>134</v>
      </c>
      <c r="D35" s="29" t="s">
        <v>228</v>
      </c>
      <c r="E35" s="29" t="s">
        <v>234</v>
      </c>
      <c r="F35" s="29" t="b">
        <v>0</v>
      </c>
      <c r="G35" s="29" t="s">
        <v>238</v>
      </c>
      <c r="H35" s="29" t="s">
        <v>11</v>
      </c>
      <c r="I35" s="29" t="s">
        <v>11</v>
      </c>
      <c r="J35" s="29">
        <v>9</v>
      </c>
      <c r="K35" s="29">
        <f t="shared" si="1"/>
        <v>9</v>
      </c>
      <c r="L35" s="29" t="s">
        <v>250</v>
      </c>
      <c r="M35" s="29" t="s">
        <v>421</v>
      </c>
      <c r="N35" s="29" t="s">
        <v>376</v>
      </c>
      <c r="O35" s="29"/>
      <c r="P35" s="29"/>
      <c r="Q35" s="29"/>
    </row>
    <row r="36" spans="1:17" ht="13.75" customHeight="1" x14ac:dyDescent="0.25">
      <c r="A36" s="34" t="s">
        <v>136</v>
      </c>
      <c r="B36" s="34" t="str">
        <f t="shared" si="2"/>
        <v>Cleric</v>
      </c>
      <c r="C36" s="34" t="s">
        <v>135</v>
      </c>
      <c r="D36" s="34" t="s">
        <v>230</v>
      </c>
      <c r="E36" s="34" t="s">
        <v>233</v>
      </c>
      <c r="F36" s="34" t="b">
        <v>0</v>
      </c>
      <c r="G36" s="34"/>
      <c r="H36" s="34" t="s">
        <v>11</v>
      </c>
      <c r="I36" s="34" t="s">
        <v>11</v>
      </c>
      <c r="J36" s="34">
        <v>5</v>
      </c>
      <c r="K36" s="34">
        <f t="shared" si="1"/>
        <v>5</v>
      </c>
      <c r="L36" s="34" t="s">
        <v>250</v>
      </c>
      <c r="M36" s="34" t="s">
        <v>421</v>
      </c>
      <c r="N36" s="53" t="s">
        <v>377</v>
      </c>
      <c r="O36" s="34"/>
      <c r="P36" s="34"/>
      <c r="Q36" s="34"/>
    </row>
    <row r="37" spans="1:17" ht="13.75" customHeight="1" x14ac:dyDescent="0.25">
      <c r="A37" s="29" t="s">
        <v>247</v>
      </c>
      <c r="B37" s="29" t="str">
        <f>A37</f>
        <v>Prism Dancer_1</v>
      </c>
      <c r="C37" s="29" t="s">
        <v>137</v>
      </c>
      <c r="D37" s="29" t="s">
        <v>225</v>
      </c>
      <c r="E37" s="29" t="s">
        <v>234</v>
      </c>
      <c r="F37" s="29" t="b">
        <v>0</v>
      </c>
      <c r="G37" s="29"/>
      <c r="H37" s="29" t="s">
        <v>11</v>
      </c>
      <c r="I37" s="29" t="s">
        <v>11</v>
      </c>
      <c r="J37" s="29">
        <v>4</v>
      </c>
      <c r="K37" s="29">
        <f t="shared" si="1"/>
        <v>4</v>
      </c>
      <c r="L37" s="29" t="s">
        <v>250</v>
      </c>
      <c r="M37" s="29" t="s">
        <v>421</v>
      </c>
      <c r="N37" s="29" t="s">
        <v>378</v>
      </c>
      <c r="O37" s="29"/>
      <c r="P37" s="29"/>
      <c r="Q37" s="29"/>
    </row>
    <row r="38" spans="1:17" ht="13.75" customHeight="1" x14ac:dyDescent="0.25">
      <c r="A38" s="37" t="s">
        <v>248</v>
      </c>
      <c r="B38" s="37" t="str">
        <f t="shared" ref="B38" si="3">A38</f>
        <v>Prism Dancer_2</v>
      </c>
      <c r="C38" s="37" t="s">
        <v>137</v>
      </c>
      <c r="D38" s="37" t="s">
        <v>225</v>
      </c>
      <c r="E38" s="37" t="s">
        <v>234</v>
      </c>
      <c r="F38" s="37" t="b">
        <v>0</v>
      </c>
      <c r="G38" s="37"/>
      <c r="H38" s="37" t="s">
        <v>11</v>
      </c>
      <c r="I38" s="37" t="s">
        <v>11</v>
      </c>
      <c r="J38" s="37">
        <v>4</v>
      </c>
      <c r="K38" s="37">
        <f t="shared" si="1"/>
        <v>4</v>
      </c>
      <c r="L38" s="37" t="s">
        <v>250</v>
      </c>
      <c r="M38" s="37" t="s">
        <v>421</v>
      </c>
      <c r="N38" s="37" t="s">
        <v>378</v>
      </c>
      <c r="O38" s="37"/>
      <c r="P38" s="37"/>
      <c r="Q38" s="37"/>
    </row>
    <row r="39" spans="1:17" ht="13.75" customHeight="1" x14ac:dyDescent="0.25">
      <c r="A39" s="38" t="s">
        <v>141</v>
      </c>
      <c r="B39" s="11" t="str">
        <f t="shared" si="2"/>
        <v>Bog Monkey</v>
      </c>
      <c r="C39" s="11" t="s">
        <v>142</v>
      </c>
      <c r="D39" s="11" t="s">
        <v>227</v>
      </c>
      <c r="E39" s="11" t="s">
        <v>232</v>
      </c>
      <c r="F39" s="11" t="b">
        <v>0</v>
      </c>
      <c r="G39" s="11" t="s">
        <v>237</v>
      </c>
      <c r="H39" s="11" t="s">
        <v>11</v>
      </c>
      <c r="I39" s="11" t="s">
        <v>11</v>
      </c>
      <c r="J39" s="11">
        <v>5</v>
      </c>
      <c r="K39" s="11">
        <f t="shared" si="1"/>
        <v>5</v>
      </c>
      <c r="L39" s="11" t="s">
        <v>12</v>
      </c>
      <c r="M39" s="11" t="s">
        <v>421</v>
      </c>
      <c r="N39" s="29" t="s">
        <v>359</v>
      </c>
    </row>
    <row r="40" spans="1:17" ht="13.75" customHeight="1" x14ac:dyDescent="0.25">
      <c r="A40" s="39" t="s">
        <v>143</v>
      </c>
      <c r="B40" s="39" t="str">
        <f t="shared" si="2"/>
        <v>Bog Sage</v>
      </c>
      <c r="C40" s="39" t="s">
        <v>144</v>
      </c>
      <c r="D40" s="39" t="s">
        <v>226</v>
      </c>
      <c r="E40" s="39" t="s">
        <v>233</v>
      </c>
      <c r="F40" s="39" t="b">
        <v>0</v>
      </c>
      <c r="G40" s="39"/>
      <c r="H40" s="39" t="s">
        <v>11</v>
      </c>
      <c r="I40" s="39" t="s">
        <v>11</v>
      </c>
      <c r="J40" s="39">
        <v>8</v>
      </c>
      <c r="K40" s="39">
        <f t="shared" si="1"/>
        <v>8</v>
      </c>
      <c r="L40" s="39" t="s">
        <v>250</v>
      </c>
      <c r="M40" s="39" t="s">
        <v>421</v>
      </c>
      <c r="N40" s="39" t="s">
        <v>379</v>
      </c>
      <c r="O40" s="39"/>
      <c r="P40" s="39"/>
      <c r="Q40" s="39"/>
    </row>
    <row r="41" spans="1:17" ht="13.75" customHeight="1" x14ac:dyDescent="0.25">
      <c r="A41" s="38" t="s">
        <v>145</v>
      </c>
      <c r="B41" s="38" t="str">
        <f t="shared" si="2"/>
        <v>Rubber Logistics Soldier</v>
      </c>
      <c r="C41" s="38" t="s">
        <v>146</v>
      </c>
      <c r="D41" s="38" t="s">
        <v>229</v>
      </c>
      <c r="E41" s="38" t="s">
        <v>232</v>
      </c>
      <c r="F41" s="38" t="b">
        <v>0</v>
      </c>
      <c r="G41" s="38" t="s">
        <v>239</v>
      </c>
      <c r="H41" s="38" t="s">
        <v>11</v>
      </c>
      <c r="I41" s="38" t="s">
        <v>11</v>
      </c>
      <c r="J41" s="38">
        <v>2</v>
      </c>
      <c r="K41" s="38">
        <f t="shared" si="1"/>
        <v>2</v>
      </c>
      <c r="L41" s="38" t="s">
        <v>250</v>
      </c>
      <c r="M41" s="38" t="s">
        <v>421</v>
      </c>
      <c r="N41" s="38" t="s">
        <v>380</v>
      </c>
      <c r="O41" s="38"/>
      <c r="P41" s="38"/>
      <c r="Q41" s="38"/>
    </row>
    <row r="42" spans="1:17" ht="13.75" customHeight="1" x14ac:dyDescent="0.25">
      <c r="A42" s="39" t="s">
        <v>147</v>
      </c>
      <c r="B42" s="39" t="str">
        <f t="shared" si="2"/>
        <v>Tiger</v>
      </c>
      <c r="C42" s="39" t="s">
        <v>148</v>
      </c>
      <c r="D42" s="39" t="s">
        <v>228</v>
      </c>
      <c r="E42" s="39" t="s">
        <v>233</v>
      </c>
      <c r="F42" s="39" t="b">
        <v>0</v>
      </c>
      <c r="G42" s="39" t="s">
        <v>239</v>
      </c>
      <c r="H42" s="39" t="s">
        <v>11</v>
      </c>
      <c r="I42" s="39" t="s">
        <v>11</v>
      </c>
      <c r="J42" s="39">
        <v>8</v>
      </c>
      <c r="K42" s="39">
        <f t="shared" si="1"/>
        <v>8</v>
      </c>
      <c r="L42" s="39" t="s">
        <v>250</v>
      </c>
      <c r="M42" s="39" t="s">
        <v>421</v>
      </c>
      <c r="N42" s="39" t="s">
        <v>381</v>
      </c>
      <c r="O42" s="39"/>
      <c r="P42" s="39"/>
      <c r="Q42" s="39"/>
    </row>
    <row r="43" spans="1:17" ht="13.75" customHeight="1" x14ac:dyDescent="0.25">
      <c r="A43" s="38" t="s">
        <v>149</v>
      </c>
      <c r="B43" s="38" t="str">
        <f t="shared" si="2"/>
        <v>Ghost Warrior</v>
      </c>
      <c r="C43" s="38" t="s">
        <v>150</v>
      </c>
      <c r="D43" s="38" t="s">
        <v>225</v>
      </c>
      <c r="E43" s="38" t="s">
        <v>233</v>
      </c>
      <c r="F43" s="38" t="b">
        <v>0</v>
      </c>
      <c r="G43" s="38" t="s">
        <v>240</v>
      </c>
      <c r="H43" s="38" t="s">
        <v>11</v>
      </c>
      <c r="I43" s="38" t="s">
        <v>11</v>
      </c>
      <c r="J43" s="38">
        <v>2</v>
      </c>
      <c r="K43" s="38">
        <f t="shared" si="1"/>
        <v>2</v>
      </c>
      <c r="L43" s="38" t="s">
        <v>477</v>
      </c>
      <c r="M43" s="38" t="s">
        <v>421</v>
      </c>
      <c r="N43" s="38" t="s">
        <v>382</v>
      </c>
      <c r="O43" s="38"/>
      <c r="P43" s="38"/>
      <c r="Q43" s="38"/>
    </row>
    <row r="44" spans="1:17" ht="13.75" customHeight="1" x14ac:dyDescent="0.25">
      <c r="A44" s="39" t="s">
        <v>174</v>
      </c>
      <c r="B44" s="39" t="str">
        <f t="shared" si="2"/>
        <v>Gustav Railway Cannon</v>
      </c>
      <c r="C44" s="39" t="s">
        <v>151</v>
      </c>
      <c r="D44" s="39" t="s">
        <v>228</v>
      </c>
      <c r="E44" s="39" t="s">
        <v>234</v>
      </c>
      <c r="F44" s="39" t="b">
        <v>0</v>
      </c>
      <c r="G44" s="39" t="s">
        <v>242</v>
      </c>
      <c r="H44" s="39" t="s">
        <v>474</v>
      </c>
      <c r="I44" s="39" t="s">
        <v>11</v>
      </c>
      <c r="J44" s="39">
        <v>12</v>
      </c>
      <c r="K44" s="39">
        <f t="shared" si="1"/>
        <v>12</v>
      </c>
      <c r="L44" s="39" t="s">
        <v>250</v>
      </c>
      <c r="M44" s="39" t="s">
        <v>421</v>
      </c>
      <c r="N44" s="39" t="s">
        <v>383</v>
      </c>
      <c r="O44" s="39"/>
      <c r="P44" s="39"/>
      <c r="Q44" s="39"/>
    </row>
    <row r="45" spans="1:17" ht="13.75" customHeight="1" x14ac:dyDescent="0.25">
      <c r="A45" s="38" t="s">
        <v>175</v>
      </c>
      <c r="B45" s="38" t="str">
        <f t="shared" si="2"/>
        <v>Rubber Artillery</v>
      </c>
      <c r="C45" s="38" t="s">
        <v>152</v>
      </c>
      <c r="D45" s="38" t="s">
        <v>225</v>
      </c>
      <c r="E45" s="38" t="s">
        <v>232</v>
      </c>
      <c r="F45" s="38" t="b">
        <v>0</v>
      </c>
      <c r="G45" s="38" t="s">
        <v>241</v>
      </c>
      <c r="H45" s="8" t="s">
        <v>236</v>
      </c>
      <c r="I45" s="38" t="s">
        <v>11</v>
      </c>
      <c r="J45" s="38">
        <v>3</v>
      </c>
      <c r="K45" s="38">
        <f t="shared" si="1"/>
        <v>3</v>
      </c>
      <c r="L45" s="38" t="s">
        <v>479</v>
      </c>
      <c r="M45" s="38" t="s">
        <v>421</v>
      </c>
      <c r="N45" s="38" t="s">
        <v>384</v>
      </c>
      <c r="O45" s="38"/>
      <c r="P45" s="38"/>
      <c r="Q45" s="38"/>
    </row>
    <row r="46" spans="1:17" ht="13.75" customHeight="1" x14ac:dyDescent="0.25">
      <c r="A46" s="39" t="s">
        <v>153</v>
      </c>
      <c r="B46" s="39" t="str">
        <f t="shared" si="2"/>
        <v>Voidwarden of Pale</v>
      </c>
      <c r="C46" s="39" t="s">
        <v>154</v>
      </c>
      <c r="D46" s="39" t="s">
        <v>230</v>
      </c>
      <c r="E46" s="39" t="s">
        <v>233</v>
      </c>
      <c r="F46" s="39" t="b">
        <v>0</v>
      </c>
      <c r="G46" s="39" t="s">
        <v>236</v>
      </c>
      <c r="H46" s="39" t="s">
        <v>11</v>
      </c>
      <c r="I46" s="39" t="s">
        <v>11</v>
      </c>
      <c r="J46" s="39">
        <v>8</v>
      </c>
      <c r="K46" s="39">
        <f t="shared" si="1"/>
        <v>8</v>
      </c>
      <c r="L46" s="39" t="s">
        <v>250</v>
      </c>
      <c r="M46" s="39" t="s">
        <v>421</v>
      </c>
      <c r="N46" s="39" t="s">
        <v>385</v>
      </c>
      <c r="O46" s="39"/>
      <c r="P46" s="39"/>
      <c r="Q46" s="39"/>
    </row>
    <row r="47" spans="1:17" ht="13.75" customHeight="1" x14ac:dyDescent="0.25">
      <c r="A47" s="38" t="s">
        <v>156</v>
      </c>
      <c r="B47" s="38" t="str">
        <f t="shared" si="2"/>
        <v>Voidwarden of Abyss</v>
      </c>
      <c r="C47" s="38" t="s">
        <v>155</v>
      </c>
      <c r="D47" s="38" t="s">
        <v>228</v>
      </c>
      <c r="E47" s="38" t="s">
        <v>233</v>
      </c>
      <c r="F47" s="38" t="b">
        <v>0</v>
      </c>
      <c r="G47" s="38" t="s">
        <v>237</v>
      </c>
      <c r="H47" s="38" t="s">
        <v>11</v>
      </c>
      <c r="I47" s="38" t="s">
        <v>11</v>
      </c>
      <c r="J47" s="38">
        <v>8</v>
      </c>
      <c r="K47" s="38">
        <f t="shared" si="1"/>
        <v>8</v>
      </c>
      <c r="L47" s="38" t="s">
        <v>250</v>
      </c>
      <c r="M47" s="38" t="s">
        <v>421</v>
      </c>
      <c r="N47" s="38" t="s">
        <v>386</v>
      </c>
      <c r="O47" s="38"/>
      <c r="P47" s="38"/>
      <c r="Q47" s="38"/>
    </row>
    <row r="48" spans="1:17" ht="13.75" customHeight="1" x14ac:dyDescent="0.25">
      <c r="A48" s="39" t="s">
        <v>157</v>
      </c>
      <c r="B48" s="39" t="str">
        <f t="shared" si="2"/>
        <v>Cursed Tree</v>
      </c>
      <c r="C48" s="39" t="s">
        <v>158</v>
      </c>
      <c r="D48" s="39" t="s">
        <v>230</v>
      </c>
      <c r="E48" s="39" t="s">
        <v>234</v>
      </c>
      <c r="F48" s="39" t="b">
        <v>0</v>
      </c>
      <c r="G48" s="39" t="s">
        <v>236</v>
      </c>
      <c r="H48" s="39" t="s">
        <v>11</v>
      </c>
      <c r="I48" s="39" t="s">
        <v>11</v>
      </c>
      <c r="J48" s="39">
        <v>14</v>
      </c>
      <c r="K48" s="39">
        <f t="shared" si="1"/>
        <v>14</v>
      </c>
      <c r="L48" s="39" t="s">
        <v>250</v>
      </c>
      <c r="M48" s="39" t="s">
        <v>421</v>
      </c>
      <c r="N48" s="39" t="s">
        <v>387</v>
      </c>
      <c r="O48" s="39"/>
      <c r="P48" s="39"/>
      <c r="Q48" s="39"/>
    </row>
    <row r="49" spans="1:17" ht="13.75" customHeight="1" x14ac:dyDescent="0.25">
      <c r="A49" s="38" t="s">
        <v>176</v>
      </c>
      <c r="B49" s="38" t="str">
        <f t="shared" si="2"/>
        <v>Porcupine</v>
      </c>
      <c r="C49" s="38" t="s">
        <v>159</v>
      </c>
      <c r="D49" s="38" t="s">
        <v>227</v>
      </c>
      <c r="E49" s="38" t="s">
        <v>232</v>
      </c>
      <c r="F49" s="38" t="b">
        <v>0</v>
      </c>
      <c r="G49" s="38" t="s">
        <v>236</v>
      </c>
      <c r="H49" s="38" t="s">
        <v>11</v>
      </c>
      <c r="I49" s="38" t="s">
        <v>11</v>
      </c>
      <c r="J49" s="38">
        <v>5</v>
      </c>
      <c r="K49" s="38">
        <f t="shared" si="1"/>
        <v>5</v>
      </c>
      <c r="L49" s="38" t="s">
        <v>250</v>
      </c>
      <c r="M49" s="38" t="s">
        <v>421</v>
      </c>
      <c r="N49" s="38" t="s">
        <v>388</v>
      </c>
      <c r="O49" s="38"/>
      <c r="P49" s="38"/>
      <c r="Q49" s="38"/>
    </row>
    <row r="50" spans="1:17" ht="13.75" customHeight="1" x14ac:dyDescent="0.25">
      <c r="A50" s="39" t="s">
        <v>160</v>
      </c>
      <c r="B50" s="39" t="str">
        <f t="shared" si="2"/>
        <v>Tree Spirit</v>
      </c>
      <c r="C50" s="39" t="s">
        <v>161</v>
      </c>
      <c r="D50" s="39" t="s">
        <v>229</v>
      </c>
      <c r="E50" s="39" t="s">
        <v>232</v>
      </c>
      <c r="F50" s="39" t="b">
        <v>0</v>
      </c>
      <c r="G50" s="39" t="s">
        <v>237</v>
      </c>
      <c r="H50" s="39" t="s">
        <v>11</v>
      </c>
      <c r="I50" s="39" t="s">
        <v>11</v>
      </c>
      <c r="J50" s="39">
        <v>3</v>
      </c>
      <c r="K50" s="39">
        <f t="shared" si="1"/>
        <v>3</v>
      </c>
      <c r="L50" s="39" t="s">
        <v>250</v>
      </c>
      <c r="M50" s="39" t="s">
        <v>421</v>
      </c>
      <c r="N50" s="39" t="s">
        <v>389</v>
      </c>
      <c r="O50" s="39"/>
      <c r="P50" s="39"/>
      <c r="Q50" s="39"/>
    </row>
    <row r="51" spans="1:17" ht="13.75" customHeight="1" x14ac:dyDescent="0.25">
      <c r="A51" s="38" t="s">
        <v>177</v>
      </c>
      <c r="B51" s="38" t="str">
        <f t="shared" si="2"/>
        <v>Coyote</v>
      </c>
      <c r="C51" s="38" t="s">
        <v>162</v>
      </c>
      <c r="D51" s="43" t="s">
        <v>225</v>
      </c>
      <c r="E51" s="38" t="s">
        <v>232</v>
      </c>
      <c r="F51" s="38" t="b">
        <v>0</v>
      </c>
      <c r="G51" s="38"/>
      <c r="H51" s="38" t="s">
        <v>237</v>
      </c>
      <c r="I51" s="38" t="s">
        <v>11</v>
      </c>
      <c r="J51" s="38">
        <v>2</v>
      </c>
      <c r="K51" s="38">
        <f t="shared" si="1"/>
        <v>2</v>
      </c>
      <c r="L51" s="38" t="s">
        <v>250</v>
      </c>
      <c r="M51" s="38" t="s">
        <v>421</v>
      </c>
      <c r="N51" s="38" t="s">
        <v>390</v>
      </c>
      <c r="O51" s="38"/>
      <c r="P51" s="38"/>
      <c r="Q51" s="38"/>
    </row>
    <row r="52" spans="1:17" ht="13.75" customHeight="1" x14ac:dyDescent="0.25">
      <c r="A52" s="39" t="s">
        <v>178</v>
      </c>
      <c r="B52" s="39" t="str">
        <f t="shared" si="2"/>
        <v>Brave·Left Hand</v>
      </c>
      <c r="C52" s="39" t="s">
        <v>163</v>
      </c>
      <c r="D52" s="45"/>
      <c r="E52" s="39" t="s">
        <v>233</v>
      </c>
      <c r="F52" s="39" t="b">
        <v>0</v>
      </c>
      <c r="G52" s="39"/>
      <c r="H52" s="39" t="s">
        <v>11</v>
      </c>
      <c r="I52" s="39" t="s">
        <v>11</v>
      </c>
      <c r="J52" s="39">
        <v>9</v>
      </c>
      <c r="K52" s="39">
        <f t="shared" si="1"/>
        <v>9</v>
      </c>
      <c r="L52" s="39" t="s">
        <v>250</v>
      </c>
      <c r="M52" s="39" t="s">
        <v>421</v>
      </c>
      <c r="N52" s="39" t="s">
        <v>391</v>
      </c>
      <c r="O52" s="39"/>
      <c r="P52" s="39"/>
      <c r="Q52" s="39"/>
    </row>
    <row r="53" spans="1:17" ht="13.75" customHeight="1" x14ac:dyDescent="0.25">
      <c r="A53" s="38" t="s">
        <v>179</v>
      </c>
      <c r="B53" s="38" t="str">
        <f t="shared" si="2"/>
        <v>Brave·Right Hand</v>
      </c>
      <c r="C53" s="42" t="s">
        <v>164</v>
      </c>
      <c r="D53" s="46"/>
      <c r="E53" s="38" t="s">
        <v>233</v>
      </c>
      <c r="F53" s="38" t="b">
        <v>0</v>
      </c>
      <c r="G53" s="38"/>
      <c r="H53" s="38" t="s">
        <v>11</v>
      </c>
      <c r="I53" s="44" t="s">
        <v>11</v>
      </c>
      <c r="J53" s="38">
        <v>9</v>
      </c>
      <c r="K53" s="38">
        <f t="shared" si="1"/>
        <v>9</v>
      </c>
      <c r="L53" s="38" t="s">
        <v>250</v>
      </c>
      <c r="M53" s="38" t="s">
        <v>421</v>
      </c>
      <c r="N53" s="38" t="s">
        <v>392</v>
      </c>
      <c r="O53" s="38"/>
      <c r="P53" s="38"/>
      <c r="Q53" s="38"/>
    </row>
    <row r="54" spans="1:17" ht="13.75" customHeight="1" x14ac:dyDescent="0.25">
      <c r="A54" s="39" t="s">
        <v>165</v>
      </c>
      <c r="B54" s="39" t="str">
        <f t="shared" si="2"/>
        <v>Fear</v>
      </c>
      <c r="C54" s="39" t="s">
        <v>166</v>
      </c>
      <c r="D54" s="39" t="s">
        <v>229</v>
      </c>
      <c r="E54" s="39" t="s">
        <v>233</v>
      </c>
      <c r="F54" s="39" t="b">
        <v>0</v>
      </c>
      <c r="G54" s="39"/>
      <c r="H54" s="39" t="s">
        <v>243</v>
      </c>
      <c r="I54" s="39" t="s">
        <v>11</v>
      </c>
      <c r="J54" s="39">
        <v>6</v>
      </c>
      <c r="K54" s="39">
        <f t="shared" si="1"/>
        <v>6</v>
      </c>
      <c r="L54" s="39" t="s">
        <v>250</v>
      </c>
      <c r="M54" s="39" t="s">
        <v>421</v>
      </c>
      <c r="N54" s="39" t="s">
        <v>393</v>
      </c>
      <c r="O54" s="39"/>
      <c r="P54" s="39"/>
      <c r="Q54" s="39"/>
    </row>
    <row r="55" spans="1:17" ht="13.75" customHeight="1" x14ac:dyDescent="0.25">
      <c r="A55" s="38" t="s">
        <v>168</v>
      </c>
      <c r="B55" s="38" t="str">
        <f t="shared" si="2"/>
        <v>Unbroken Will</v>
      </c>
      <c r="C55" s="38" t="s">
        <v>167</v>
      </c>
      <c r="D55" s="38" t="s">
        <v>225</v>
      </c>
      <c r="E55" s="38" t="s">
        <v>232</v>
      </c>
      <c r="F55" s="38" t="b">
        <v>0</v>
      </c>
      <c r="G55" s="38"/>
      <c r="H55" s="38" t="s">
        <v>11</v>
      </c>
      <c r="I55" s="38" t="s">
        <v>11</v>
      </c>
      <c r="J55" s="38">
        <v>4</v>
      </c>
      <c r="K55" s="38">
        <f t="shared" si="1"/>
        <v>4</v>
      </c>
      <c r="L55" s="38" t="s">
        <v>250</v>
      </c>
      <c r="M55" s="38" t="s">
        <v>421</v>
      </c>
      <c r="N55" s="38" t="s">
        <v>394</v>
      </c>
      <c r="O55" s="38"/>
      <c r="P55" s="38"/>
      <c r="Q55" s="38"/>
    </row>
    <row r="56" spans="1:17" ht="13.75" customHeight="1" x14ac:dyDescent="0.25">
      <c r="A56" s="39" t="s">
        <v>173</v>
      </c>
      <c r="B56" s="39" t="str">
        <f t="shared" si="2"/>
        <v>Brave of Old</v>
      </c>
      <c r="C56" s="39" t="s">
        <v>169</v>
      </c>
      <c r="D56" s="39" t="s">
        <v>226</v>
      </c>
      <c r="E56" s="39" t="s">
        <v>233</v>
      </c>
      <c r="F56" s="39" t="b">
        <v>0</v>
      </c>
      <c r="G56" s="39" t="s">
        <v>236</v>
      </c>
      <c r="H56" s="39" t="s">
        <v>11</v>
      </c>
      <c r="I56" s="39" t="s">
        <v>11</v>
      </c>
      <c r="J56" s="39">
        <v>8</v>
      </c>
      <c r="K56" s="39">
        <f t="shared" si="1"/>
        <v>8</v>
      </c>
      <c r="L56" s="39" t="s">
        <v>478</v>
      </c>
      <c r="M56" s="39" t="s">
        <v>421</v>
      </c>
      <c r="N56" s="39" t="s">
        <v>395</v>
      </c>
      <c r="O56" s="39"/>
      <c r="P56" s="39"/>
      <c r="Q56" s="39"/>
    </row>
    <row r="57" spans="1:17" ht="13.75" customHeight="1" x14ac:dyDescent="0.25">
      <c r="A57" s="38" t="s">
        <v>172</v>
      </c>
      <c r="B57" s="38" t="str">
        <f t="shared" si="2"/>
        <v>Ancestral Brave</v>
      </c>
      <c r="C57" s="38" t="s">
        <v>170</v>
      </c>
      <c r="D57" s="38" t="s">
        <v>230</v>
      </c>
      <c r="E57" s="38" t="s">
        <v>233</v>
      </c>
      <c r="F57" s="38" t="b">
        <v>0</v>
      </c>
      <c r="G57" s="38" t="s">
        <v>236</v>
      </c>
      <c r="H57" s="38" t="s">
        <v>11</v>
      </c>
      <c r="I57" s="38" t="s">
        <v>11</v>
      </c>
      <c r="J57" s="38">
        <v>15</v>
      </c>
      <c r="K57" s="38">
        <f t="shared" si="1"/>
        <v>15</v>
      </c>
      <c r="L57" s="38" t="s">
        <v>250</v>
      </c>
      <c r="M57" s="38" t="s">
        <v>421</v>
      </c>
      <c r="N57" s="38" t="s">
        <v>396</v>
      </c>
      <c r="O57" s="38"/>
      <c r="P57" s="38"/>
      <c r="Q57" s="38"/>
    </row>
    <row r="58" spans="1:17" ht="13.75" customHeight="1" x14ac:dyDescent="0.25">
      <c r="A58" s="39" t="s">
        <v>180</v>
      </c>
      <c r="B58" s="39" t="str">
        <f t="shared" si="2"/>
        <v>Oathblade</v>
      </c>
      <c r="C58" s="39" t="s">
        <v>171</v>
      </c>
      <c r="D58" s="39" t="s">
        <v>228</v>
      </c>
      <c r="E58" s="39" t="s">
        <v>233</v>
      </c>
      <c r="F58" s="39" t="b">
        <v>0</v>
      </c>
      <c r="G58" s="39" t="s">
        <v>236</v>
      </c>
      <c r="H58" s="39" t="s">
        <v>11</v>
      </c>
      <c r="I58" s="39" t="s">
        <v>11</v>
      </c>
      <c r="J58" s="39">
        <v>8</v>
      </c>
      <c r="K58" s="39">
        <f t="shared" si="1"/>
        <v>8</v>
      </c>
      <c r="L58" s="39" t="s">
        <v>250</v>
      </c>
      <c r="M58" s="39" t="s">
        <v>421</v>
      </c>
      <c r="N58" s="39" t="s">
        <v>397</v>
      </c>
      <c r="O58" s="39"/>
      <c r="P58" s="39"/>
      <c r="Q58" s="39"/>
    </row>
    <row r="59" spans="1:17" ht="13.75" customHeight="1" x14ac:dyDescent="0.25">
      <c r="A59" s="38" t="s">
        <v>184</v>
      </c>
      <c r="B59" s="11" t="str">
        <f t="shared" si="2"/>
        <v>Void Lock</v>
      </c>
      <c r="C59" s="11" t="s">
        <v>181</v>
      </c>
      <c r="D59" s="11" t="s">
        <v>226</v>
      </c>
      <c r="E59" s="11" t="s">
        <v>233</v>
      </c>
      <c r="F59" s="11" t="b">
        <v>0</v>
      </c>
      <c r="G59" s="11"/>
      <c r="J59" s="11">
        <v>9</v>
      </c>
      <c r="K59" s="11">
        <f t="shared" si="1"/>
        <v>9</v>
      </c>
      <c r="L59" s="11" t="s">
        <v>12</v>
      </c>
      <c r="M59" s="11" t="s">
        <v>421</v>
      </c>
      <c r="N59" s="29" t="s">
        <v>398</v>
      </c>
    </row>
    <row r="60" spans="1:17" ht="13.75" customHeight="1" x14ac:dyDescent="0.25">
      <c r="A60" s="41" t="s">
        <v>183</v>
      </c>
      <c r="B60" s="41" t="str">
        <f t="shared" si="2"/>
        <v>Void Cage</v>
      </c>
      <c r="C60" s="41" t="s">
        <v>182</v>
      </c>
      <c r="D60" s="41" t="s">
        <v>226</v>
      </c>
      <c r="E60" s="41" t="s">
        <v>233</v>
      </c>
      <c r="F60" s="41" t="b">
        <v>0</v>
      </c>
      <c r="G60" s="41"/>
      <c r="H60" s="41"/>
      <c r="I60" s="41"/>
      <c r="J60" s="41">
        <v>8</v>
      </c>
      <c r="K60" s="41">
        <f t="shared" si="1"/>
        <v>8</v>
      </c>
      <c r="L60" s="41" t="s">
        <v>250</v>
      </c>
      <c r="M60" s="41" t="s">
        <v>421</v>
      </c>
      <c r="N60" s="41" t="s">
        <v>399</v>
      </c>
      <c r="O60" s="41"/>
      <c r="P60" s="41"/>
      <c r="Q60" s="41"/>
    </row>
    <row r="61" spans="1:17" ht="13.75" customHeight="1" x14ac:dyDescent="0.25">
      <c r="A61" s="38" t="s">
        <v>185</v>
      </c>
      <c r="B61" s="38" t="str">
        <f t="shared" si="2"/>
        <v>Rat</v>
      </c>
      <c r="C61" s="38" t="s">
        <v>186</v>
      </c>
      <c r="D61" s="38" t="s">
        <v>229</v>
      </c>
      <c r="E61" s="38" t="s">
        <v>232</v>
      </c>
      <c r="F61" s="38" t="b">
        <v>0</v>
      </c>
      <c r="G61" s="38" t="s">
        <v>236</v>
      </c>
      <c r="H61" s="38"/>
      <c r="I61" s="38"/>
      <c r="J61" s="38">
        <v>3</v>
      </c>
      <c r="K61" s="38">
        <f t="shared" si="1"/>
        <v>3</v>
      </c>
      <c r="L61" s="38" t="s">
        <v>250</v>
      </c>
      <c r="M61" s="38" t="s">
        <v>421</v>
      </c>
      <c r="N61" s="38" t="s">
        <v>400</v>
      </c>
      <c r="O61" s="38"/>
      <c r="P61" s="38"/>
      <c r="Q61" s="38"/>
    </row>
    <row r="62" spans="1:17" ht="13.75" customHeight="1" x14ac:dyDescent="0.25">
      <c r="A62" s="41" t="s">
        <v>187</v>
      </c>
      <c r="B62" s="41" t="str">
        <f t="shared" si="2"/>
        <v>Rat King</v>
      </c>
      <c r="C62" s="41" t="s">
        <v>188</v>
      </c>
      <c r="D62" s="41" t="s">
        <v>228</v>
      </c>
      <c r="E62" s="41" t="s">
        <v>233</v>
      </c>
      <c r="F62" s="41" t="b">
        <v>0</v>
      </c>
      <c r="G62" s="41" t="s">
        <v>237</v>
      </c>
      <c r="H62" s="41"/>
      <c r="I62" s="41"/>
      <c r="J62" s="41">
        <v>10</v>
      </c>
      <c r="K62" s="41">
        <f t="shared" si="1"/>
        <v>10</v>
      </c>
      <c r="L62" s="41" t="s">
        <v>250</v>
      </c>
      <c r="M62" s="41" t="s">
        <v>421</v>
      </c>
      <c r="N62" s="41" t="s">
        <v>401</v>
      </c>
      <c r="O62" s="41"/>
      <c r="P62" s="41"/>
      <c r="Q62" s="41"/>
    </row>
    <row r="63" spans="1:17" ht="13.75" customHeight="1" x14ac:dyDescent="0.25">
      <c r="A63" s="38" t="s">
        <v>189</v>
      </c>
      <c r="B63" s="38" t="str">
        <f t="shared" si="2"/>
        <v>Frog</v>
      </c>
      <c r="C63" s="38" t="s">
        <v>191</v>
      </c>
      <c r="D63" s="38" t="s">
        <v>227</v>
      </c>
      <c r="E63" s="38" t="s">
        <v>232</v>
      </c>
      <c r="F63" s="38" t="b">
        <v>0</v>
      </c>
      <c r="G63" s="38"/>
      <c r="H63" s="38"/>
      <c r="I63" s="38"/>
      <c r="J63" s="38">
        <v>7</v>
      </c>
      <c r="K63" s="38">
        <f t="shared" si="1"/>
        <v>7</v>
      </c>
      <c r="L63" s="38" t="s">
        <v>250</v>
      </c>
      <c r="M63" s="38" t="s">
        <v>421</v>
      </c>
      <c r="N63" s="38" t="s">
        <v>402</v>
      </c>
      <c r="O63" s="38"/>
      <c r="P63" s="38"/>
      <c r="Q63" s="38"/>
    </row>
    <row r="64" spans="1:17" ht="13.75" customHeight="1" x14ac:dyDescent="0.25">
      <c r="A64" s="41" t="s">
        <v>190</v>
      </c>
      <c r="B64" s="41" t="str">
        <f t="shared" si="2"/>
        <v>Horse</v>
      </c>
      <c r="C64" s="41" t="s">
        <v>192</v>
      </c>
      <c r="D64" s="41" t="s">
        <v>230</v>
      </c>
      <c r="E64" s="41" t="s">
        <v>233</v>
      </c>
      <c r="F64" s="41" t="b">
        <v>0</v>
      </c>
      <c r="G64" s="41"/>
      <c r="H64" s="41"/>
      <c r="I64" s="41"/>
      <c r="J64" s="41">
        <v>9</v>
      </c>
      <c r="K64" s="41">
        <f t="shared" si="1"/>
        <v>9</v>
      </c>
      <c r="L64" s="41" t="s">
        <v>250</v>
      </c>
      <c r="M64" s="41" t="s">
        <v>421</v>
      </c>
      <c r="N64" s="41" t="s">
        <v>403</v>
      </c>
      <c r="O64" s="41"/>
      <c r="P64" s="41"/>
      <c r="Q64" s="41"/>
    </row>
    <row r="65" spans="1:17" ht="13.75" customHeight="1" x14ac:dyDescent="0.25">
      <c r="A65" s="38" t="s">
        <v>193</v>
      </c>
      <c r="B65" s="38" t="str">
        <f t="shared" si="2"/>
        <v>Fruit Fly</v>
      </c>
      <c r="C65" s="38" t="s">
        <v>194</v>
      </c>
      <c r="D65" s="38" t="s">
        <v>229</v>
      </c>
      <c r="E65" s="38" t="s">
        <v>232</v>
      </c>
      <c r="F65" s="38" t="b">
        <v>0</v>
      </c>
      <c r="G65" s="38"/>
      <c r="H65" s="38"/>
      <c r="I65" s="38"/>
      <c r="J65" s="38">
        <v>2</v>
      </c>
      <c r="K65" s="38">
        <f t="shared" si="1"/>
        <v>2</v>
      </c>
      <c r="L65" s="38" t="s">
        <v>250</v>
      </c>
      <c r="M65" s="38" t="s">
        <v>421</v>
      </c>
      <c r="N65" s="38" t="s">
        <v>404</v>
      </c>
      <c r="O65" s="38"/>
      <c r="P65" s="38"/>
      <c r="Q65" s="38"/>
    </row>
    <row r="66" spans="1:17" ht="13.75" customHeight="1" x14ac:dyDescent="0.25">
      <c r="A66" s="41" t="s">
        <v>195</v>
      </c>
      <c r="B66" s="41" t="str">
        <f t="shared" si="2"/>
        <v>Unsoiled Seed</v>
      </c>
      <c r="C66" s="41" t="s">
        <v>251</v>
      </c>
      <c r="D66" s="41" t="s">
        <v>226</v>
      </c>
      <c r="E66" s="41" t="s">
        <v>233</v>
      </c>
      <c r="F66" s="41" t="b">
        <v>0</v>
      </c>
      <c r="G66" s="41"/>
      <c r="H66" s="41"/>
      <c r="I66" s="41"/>
      <c r="J66" s="41">
        <v>5</v>
      </c>
      <c r="K66" s="41">
        <f t="shared" si="1"/>
        <v>5</v>
      </c>
      <c r="L66" s="41" t="s">
        <v>250</v>
      </c>
      <c r="M66" s="41" t="s">
        <v>421</v>
      </c>
      <c r="N66" s="41" t="s">
        <v>405</v>
      </c>
      <c r="O66" s="41"/>
      <c r="P66" s="41"/>
      <c r="Q66" s="41"/>
    </row>
    <row r="67" spans="1:17" ht="13.75" customHeight="1" x14ac:dyDescent="0.25">
      <c r="A67" s="38" t="s">
        <v>196</v>
      </c>
      <c r="B67" s="38" t="str">
        <f t="shared" si="2"/>
        <v>Evergreen</v>
      </c>
      <c r="C67" s="38" t="s">
        <v>197</v>
      </c>
      <c r="D67" s="38" t="s">
        <v>230</v>
      </c>
      <c r="E67" s="38" t="s">
        <v>233</v>
      </c>
      <c r="F67" s="38" t="b">
        <v>0</v>
      </c>
      <c r="G67" s="38"/>
      <c r="H67" s="38"/>
      <c r="I67" s="38"/>
      <c r="J67" s="38">
        <v>9</v>
      </c>
      <c r="K67" s="38">
        <f t="shared" si="1"/>
        <v>9</v>
      </c>
      <c r="L67" s="38" t="s">
        <v>250</v>
      </c>
      <c r="M67" s="38" t="s">
        <v>421</v>
      </c>
      <c r="N67" s="38" t="s">
        <v>406</v>
      </c>
      <c r="O67" s="38"/>
      <c r="P67" s="38"/>
      <c r="Q67" s="38"/>
    </row>
    <row r="68" spans="1:17" ht="13.75" customHeight="1" x14ac:dyDescent="0.25">
      <c r="A68" s="41" t="s">
        <v>198</v>
      </c>
      <c r="B68" s="41" t="str">
        <f t="shared" si="2"/>
        <v>Unhatch Being</v>
      </c>
      <c r="C68" s="41" t="s">
        <v>199</v>
      </c>
      <c r="D68" s="41" t="s">
        <v>226</v>
      </c>
      <c r="E68" s="41" t="s">
        <v>233</v>
      </c>
      <c r="F68" s="41" t="b">
        <v>0</v>
      </c>
      <c r="G68" s="41"/>
      <c r="H68" s="41"/>
      <c r="I68" s="41"/>
      <c r="J68" s="41">
        <v>6</v>
      </c>
      <c r="K68" s="41">
        <f t="shared" ref="K68:K82" si="4">J68</f>
        <v>6</v>
      </c>
      <c r="L68" s="41" t="s">
        <v>250</v>
      </c>
      <c r="M68" s="41" t="s">
        <v>421</v>
      </c>
      <c r="N68" s="41" t="s">
        <v>407</v>
      </c>
      <c r="O68" s="41"/>
      <c r="P68" s="41"/>
      <c r="Q68" s="41"/>
    </row>
    <row r="69" spans="1:17" ht="13.75" customHeight="1" x14ac:dyDescent="0.25">
      <c r="A69" s="38" t="s">
        <v>200</v>
      </c>
      <c r="B69" s="38" t="str">
        <f t="shared" si="2"/>
        <v>White Dove</v>
      </c>
      <c r="C69" s="38" t="s">
        <v>201</v>
      </c>
      <c r="D69" s="38" t="s">
        <v>230</v>
      </c>
      <c r="E69" s="38" t="s">
        <v>233</v>
      </c>
      <c r="F69" s="38" t="b">
        <v>0</v>
      </c>
      <c r="G69" s="38"/>
      <c r="H69" s="38"/>
      <c r="I69" s="38"/>
      <c r="J69" s="38">
        <v>7</v>
      </c>
      <c r="K69" s="38">
        <f t="shared" si="4"/>
        <v>7</v>
      </c>
      <c r="L69" s="38" t="s">
        <v>250</v>
      </c>
      <c r="M69" s="38" t="s">
        <v>421</v>
      </c>
      <c r="N69" s="38" t="s">
        <v>408</v>
      </c>
      <c r="O69" s="38"/>
      <c r="P69" s="38"/>
      <c r="Q69" s="38"/>
    </row>
    <row r="70" spans="1:17" ht="13.75" customHeight="1" x14ac:dyDescent="0.25">
      <c r="A70" s="41" t="s">
        <v>216</v>
      </c>
      <c r="B70" s="41" t="str">
        <f t="shared" si="2"/>
        <v>Unquenched Flame</v>
      </c>
      <c r="C70" s="41" t="s">
        <v>252</v>
      </c>
      <c r="D70" s="41" t="s">
        <v>226</v>
      </c>
      <c r="E70" s="41" t="s">
        <v>233</v>
      </c>
      <c r="F70" s="41" t="b">
        <v>0</v>
      </c>
      <c r="G70" s="41"/>
      <c r="H70" s="41"/>
      <c r="I70" s="41"/>
      <c r="J70" s="41">
        <v>9</v>
      </c>
      <c r="K70" s="41">
        <f t="shared" si="4"/>
        <v>9</v>
      </c>
      <c r="L70" s="41" t="s">
        <v>250</v>
      </c>
      <c r="M70" s="41" t="s">
        <v>421</v>
      </c>
      <c r="N70" s="41" t="s">
        <v>409</v>
      </c>
      <c r="O70" s="41"/>
      <c r="P70" s="41"/>
      <c r="Q70" s="41"/>
    </row>
    <row r="71" spans="1:17" ht="13.75" customHeight="1" x14ac:dyDescent="0.25">
      <c r="A71" s="38" t="s">
        <v>217</v>
      </c>
      <c r="B71" s="38" t="str">
        <f t="shared" si="2"/>
        <v>Phoenix</v>
      </c>
      <c r="C71" s="38" t="s">
        <v>202</v>
      </c>
      <c r="D71" s="38" t="s">
        <v>225</v>
      </c>
      <c r="E71" s="38" t="s">
        <v>234</v>
      </c>
      <c r="F71" s="38" t="b">
        <v>0</v>
      </c>
      <c r="G71" s="38" t="s">
        <v>241</v>
      </c>
      <c r="H71" s="38"/>
      <c r="I71" s="38"/>
      <c r="J71" s="38">
        <v>13</v>
      </c>
      <c r="K71" s="38">
        <f t="shared" si="4"/>
        <v>13</v>
      </c>
      <c r="L71" s="38" t="s">
        <v>250</v>
      </c>
      <c r="M71" s="38" t="s">
        <v>421</v>
      </c>
      <c r="N71" s="38" t="s">
        <v>410</v>
      </c>
      <c r="O71" s="38"/>
      <c r="P71" s="38"/>
      <c r="Q71" s="38"/>
    </row>
    <row r="72" spans="1:17" ht="13.75" customHeight="1" x14ac:dyDescent="0.25">
      <c r="A72" s="41" t="s">
        <v>203</v>
      </c>
      <c r="B72" s="41" t="str">
        <f t="shared" si="2"/>
        <v>Child</v>
      </c>
      <c r="C72" s="41" t="s">
        <v>204</v>
      </c>
      <c r="D72" s="41" t="s">
        <v>230</v>
      </c>
      <c r="E72" s="41" t="s">
        <v>233</v>
      </c>
      <c r="F72" s="41" t="b">
        <v>0</v>
      </c>
      <c r="G72" s="41"/>
      <c r="H72" s="41"/>
      <c r="I72" s="41"/>
      <c r="J72" s="41">
        <v>10</v>
      </c>
      <c r="K72" s="41">
        <f t="shared" si="4"/>
        <v>10</v>
      </c>
      <c r="L72" s="41" t="s">
        <v>250</v>
      </c>
      <c r="M72" s="41" t="s">
        <v>421</v>
      </c>
      <c r="N72" s="41" t="s">
        <v>411</v>
      </c>
      <c r="O72" s="41"/>
      <c r="P72" s="41"/>
      <c r="Q72" s="41"/>
    </row>
    <row r="73" spans="1:17" ht="13.75" customHeight="1" x14ac:dyDescent="0.25">
      <c r="A73" s="38" t="s">
        <v>218</v>
      </c>
      <c r="B73" s="38" t="str">
        <f t="shared" si="2"/>
        <v>Dust-Sealed Heart</v>
      </c>
      <c r="C73" s="38" t="s">
        <v>205</v>
      </c>
      <c r="D73" s="38" t="s">
        <v>226</v>
      </c>
      <c r="E73" s="38" t="s">
        <v>233</v>
      </c>
      <c r="F73" s="38" t="b">
        <v>0</v>
      </c>
      <c r="G73" s="38" t="s">
        <v>237</v>
      </c>
      <c r="H73" s="38"/>
      <c r="I73" s="38"/>
      <c r="J73" s="38">
        <v>7</v>
      </c>
      <c r="K73" s="38">
        <f t="shared" si="4"/>
        <v>7</v>
      </c>
      <c r="L73" s="38" t="s">
        <v>250</v>
      </c>
      <c r="M73" s="38" t="s">
        <v>421</v>
      </c>
      <c r="N73" s="38" t="s">
        <v>412</v>
      </c>
      <c r="O73" s="38"/>
      <c r="P73" s="38"/>
      <c r="Q73" s="38"/>
    </row>
    <row r="74" spans="1:17" ht="13.75" customHeight="1" x14ac:dyDescent="0.25">
      <c r="A74" s="41" t="s">
        <v>219</v>
      </c>
      <c r="B74" s="41" t="str">
        <f t="shared" si="2"/>
        <v>Ronin</v>
      </c>
      <c r="C74" s="41" t="s">
        <v>206</v>
      </c>
      <c r="D74" s="41" t="s">
        <v>229</v>
      </c>
      <c r="E74" s="41" t="s">
        <v>232</v>
      </c>
      <c r="F74" s="41" t="b">
        <v>0</v>
      </c>
      <c r="G74" s="41" t="s">
        <v>236</v>
      </c>
      <c r="H74" s="41" t="s">
        <v>244</v>
      </c>
      <c r="I74" s="41"/>
      <c r="J74" s="41">
        <v>4</v>
      </c>
      <c r="K74" s="41">
        <f t="shared" si="4"/>
        <v>4</v>
      </c>
      <c r="L74" s="41" t="s">
        <v>250</v>
      </c>
      <c r="M74" s="41" t="s">
        <v>421</v>
      </c>
      <c r="N74" s="41" t="s">
        <v>413</v>
      </c>
      <c r="O74" s="41"/>
      <c r="P74" s="41"/>
      <c r="Q74" s="41"/>
    </row>
    <row r="75" spans="1:17" ht="13.75" customHeight="1" x14ac:dyDescent="0.25">
      <c r="A75" s="38" t="s">
        <v>207</v>
      </c>
      <c r="B75" s="38" t="str">
        <f t="shared" si="2"/>
        <v>Mortis</v>
      </c>
      <c r="C75" s="38" t="s">
        <v>208</v>
      </c>
      <c r="D75" s="38" t="s">
        <v>225</v>
      </c>
      <c r="E75" s="38" t="s">
        <v>232</v>
      </c>
      <c r="F75" s="38" t="b">
        <v>0</v>
      </c>
      <c r="G75" s="38" t="s">
        <v>236</v>
      </c>
      <c r="H75" s="38" t="s">
        <v>244</v>
      </c>
      <c r="I75" s="38"/>
      <c r="J75" s="38">
        <v>2</v>
      </c>
      <c r="K75" s="38">
        <f t="shared" si="4"/>
        <v>2</v>
      </c>
      <c r="L75" s="38" t="s">
        <v>250</v>
      </c>
      <c r="M75" s="38" t="s">
        <v>421</v>
      </c>
      <c r="N75" s="38" t="s">
        <v>414</v>
      </c>
      <c r="O75" s="38"/>
      <c r="P75" s="38"/>
      <c r="Q75" s="38"/>
    </row>
    <row r="76" spans="1:17" ht="13.75" customHeight="1" x14ac:dyDescent="0.25">
      <c r="A76" s="41" t="s">
        <v>209</v>
      </c>
      <c r="B76" s="41" t="str">
        <f t="shared" si="2"/>
        <v>Slasher</v>
      </c>
      <c r="C76" s="41" t="s">
        <v>210</v>
      </c>
      <c r="D76" s="41" t="s">
        <v>228</v>
      </c>
      <c r="E76" s="41" t="s">
        <v>234</v>
      </c>
      <c r="F76" s="41" t="b">
        <v>0</v>
      </c>
      <c r="G76" s="41" t="s">
        <v>236</v>
      </c>
      <c r="H76" s="41"/>
      <c r="I76" s="41"/>
      <c r="J76" s="41">
        <v>13</v>
      </c>
      <c r="K76" s="41">
        <f t="shared" si="4"/>
        <v>13</v>
      </c>
      <c r="L76" s="41" t="s">
        <v>480</v>
      </c>
      <c r="M76" s="41" t="s">
        <v>421</v>
      </c>
      <c r="N76" s="41" t="s">
        <v>415</v>
      </c>
      <c r="O76" s="41"/>
      <c r="P76" s="41"/>
      <c r="Q76" s="41"/>
    </row>
    <row r="77" spans="1:17" ht="13.75" customHeight="1" x14ac:dyDescent="0.25">
      <c r="A77" s="38" t="s">
        <v>220</v>
      </c>
      <c r="B77" s="38" t="str">
        <f t="shared" si="2"/>
        <v>Tainted Gipsy</v>
      </c>
      <c r="C77" s="38" t="s">
        <v>211</v>
      </c>
      <c r="D77" s="38" t="s">
        <v>225</v>
      </c>
      <c r="E77" s="38" t="s">
        <v>234</v>
      </c>
      <c r="F77" s="38" t="b">
        <v>0</v>
      </c>
      <c r="G77" s="38"/>
      <c r="H77" s="38"/>
      <c r="I77" s="38"/>
      <c r="J77" s="38">
        <v>20</v>
      </c>
      <c r="K77" s="38">
        <f t="shared" si="4"/>
        <v>20</v>
      </c>
      <c r="L77" s="38" t="s">
        <v>250</v>
      </c>
      <c r="M77" s="38" t="s">
        <v>421</v>
      </c>
      <c r="N77" s="38" t="s">
        <v>416</v>
      </c>
      <c r="O77" s="38"/>
      <c r="P77" s="38"/>
      <c r="Q77" s="38"/>
    </row>
    <row r="78" spans="1:17" ht="13.75" customHeight="1" x14ac:dyDescent="0.25">
      <c r="A78" s="41" t="s">
        <v>221</v>
      </c>
      <c r="B78" s="41" t="str">
        <f t="shared" si="2"/>
        <v>Hall-warden</v>
      </c>
      <c r="C78" s="41" t="s">
        <v>212</v>
      </c>
      <c r="D78" s="41" t="s">
        <v>230</v>
      </c>
      <c r="E78" s="41" t="s">
        <v>233</v>
      </c>
      <c r="F78" s="41" t="b">
        <v>0</v>
      </c>
      <c r="G78" s="41" t="s">
        <v>237</v>
      </c>
      <c r="H78" s="41"/>
      <c r="I78" s="41"/>
      <c r="J78" s="41">
        <v>10</v>
      </c>
      <c r="K78" s="41">
        <f t="shared" si="4"/>
        <v>10</v>
      </c>
      <c r="L78" s="41" t="s">
        <v>250</v>
      </c>
      <c r="M78" s="41" t="s">
        <v>421</v>
      </c>
      <c r="N78" s="41" t="s">
        <v>417</v>
      </c>
      <c r="O78" s="41"/>
      <c r="P78" s="41"/>
      <c r="Q78" s="41"/>
    </row>
    <row r="79" spans="1:17" ht="13.75" customHeight="1" x14ac:dyDescent="0.25">
      <c r="A79" s="38" t="s">
        <v>222</v>
      </c>
      <c r="B79" s="38" t="str">
        <f t="shared" si="2"/>
        <v>Athena</v>
      </c>
      <c r="C79" s="38" t="s">
        <v>213</v>
      </c>
      <c r="D79" s="38" t="s">
        <v>225</v>
      </c>
      <c r="E79" s="38" t="s">
        <v>233</v>
      </c>
      <c r="F79" s="38" t="b">
        <v>0</v>
      </c>
      <c r="G79" s="38"/>
      <c r="H79" s="38"/>
      <c r="I79" s="38"/>
      <c r="J79" s="38">
        <v>12</v>
      </c>
      <c r="K79" s="38">
        <f t="shared" si="4"/>
        <v>12</v>
      </c>
      <c r="L79" s="38" t="s">
        <v>250</v>
      </c>
      <c r="M79" s="38" t="s">
        <v>421</v>
      </c>
      <c r="N79" s="38" t="s">
        <v>418</v>
      </c>
      <c r="O79" s="38"/>
      <c r="P79" s="38"/>
      <c r="Q79" s="38"/>
    </row>
    <row r="80" spans="1:17" ht="13.75" customHeight="1" x14ac:dyDescent="0.25">
      <c r="A80" s="41" t="s">
        <v>214</v>
      </c>
      <c r="B80" s="41" t="str">
        <f t="shared" si="2"/>
        <v>Skyburner</v>
      </c>
      <c r="C80" s="41" t="s">
        <v>215</v>
      </c>
      <c r="D80" s="41" t="s">
        <v>225</v>
      </c>
      <c r="E80" s="41" t="s">
        <v>234</v>
      </c>
      <c r="F80" s="41" t="b">
        <v>0</v>
      </c>
      <c r="G80" s="41"/>
      <c r="H80" s="41"/>
      <c r="I80" s="41"/>
      <c r="J80" s="41">
        <v>15</v>
      </c>
      <c r="K80" s="41">
        <f t="shared" si="4"/>
        <v>15</v>
      </c>
      <c r="L80" s="41" t="s">
        <v>250</v>
      </c>
      <c r="M80" s="41" t="s">
        <v>421</v>
      </c>
      <c r="N80" s="41" t="s">
        <v>419</v>
      </c>
      <c r="O80" s="41"/>
      <c r="P80" s="41"/>
      <c r="Q80" s="41"/>
    </row>
    <row r="81" spans="1:17" ht="13.75" customHeight="1" x14ac:dyDescent="0.25">
      <c r="A81" s="38" t="s">
        <v>223</v>
      </c>
      <c r="B81" s="38" t="str">
        <f t="shared" si="2"/>
        <v>Hand of Corruption</v>
      </c>
      <c r="C81" s="38" t="s">
        <v>224</v>
      </c>
      <c r="D81" s="38" t="s">
        <v>227</v>
      </c>
      <c r="E81" s="38" t="s">
        <v>234</v>
      </c>
      <c r="F81" s="38" t="b">
        <v>0</v>
      </c>
      <c r="G81" s="38"/>
      <c r="H81" s="38"/>
      <c r="I81" s="38"/>
      <c r="J81" s="38">
        <v>28</v>
      </c>
      <c r="K81" s="38">
        <f t="shared" si="4"/>
        <v>28</v>
      </c>
      <c r="L81" s="38" t="s">
        <v>475</v>
      </c>
      <c r="M81" s="38" t="s">
        <v>421</v>
      </c>
      <c r="N81" s="38" t="s">
        <v>420</v>
      </c>
      <c r="O81" s="38"/>
      <c r="P81" s="38"/>
      <c r="Q81" s="38"/>
    </row>
    <row r="82" spans="1:17" ht="13.75" customHeight="1" x14ac:dyDescent="0.25">
      <c r="A82" s="41" t="s">
        <v>470</v>
      </c>
      <c r="B82" s="41" t="str">
        <f>A82</f>
        <v>Counter-Blade</v>
      </c>
      <c r="C82" s="41" t="s">
        <v>469</v>
      </c>
      <c r="D82" s="41" t="s">
        <v>228</v>
      </c>
      <c r="E82" s="41" t="s">
        <v>234</v>
      </c>
      <c r="F82" s="55" t="b">
        <v>1</v>
      </c>
      <c r="G82" s="41"/>
      <c r="H82" s="41" t="s">
        <v>16</v>
      </c>
      <c r="I82" s="41"/>
      <c r="J82" s="41">
        <v>12</v>
      </c>
      <c r="K82" s="41">
        <f t="shared" si="4"/>
        <v>12</v>
      </c>
      <c r="L82" s="41" t="s">
        <v>250</v>
      </c>
      <c r="M82" s="41" t="s">
        <v>421</v>
      </c>
      <c r="N82" s="41" t="s">
        <v>471</v>
      </c>
      <c r="O82" s="41"/>
      <c r="P82" s="41"/>
      <c r="Q82" s="41"/>
    </row>
    <row r="83" spans="1:17" ht="13.75" customHeight="1" x14ac:dyDescent="0.25">
      <c r="C83" s="11"/>
      <c r="D83" s="11"/>
      <c r="E83" s="11"/>
      <c r="F83" s="11"/>
      <c r="G83" s="11"/>
    </row>
    <row r="84" spans="1:17" ht="13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ht="13.75" customHeight="1" x14ac:dyDescent="0.25">
      <c r="C85" s="11"/>
      <c r="D85" s="11"/>
      <c r="E85" s="11"/>
      <c r="F85" s="11"/>
      <c r="G85" s="11"/>
    </row>
    <row r="86" spans="1:17" ht="13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3.75" customHeight="1" x14ac:dyDescent="0.25">
      <c r="A87" s="16"/>
      <c r="B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ht="13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3.75" customHeight="1" x14ac:dyDescent="0.25">
      <c r="A89" s="16"/>
      <c r="B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ht="13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3.75" customHeight="1" x14ac:dyDescent="0.25">
      <c r="C91" s="11"/>
      <c r="D91" s="11"/>
      <c r="E91" s="11"/>
      <c r="F91" s="11"/>
      <c r="G91" s="11"/>
    </row>
    <row r="92" spans="1:17" ht="13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ht="13.75" customHeight="1" x14ac:dyDescent="0.25">
      <c r="C93" s="11"/>
      <c r="D93" s="11"/>
      <c r="E93" s="11"/>
      <c r="F93" s="11"/>
      <c r="G93" s="11"/>
    </row>
    <row r="94" spans="1:17" ht="13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3.75" customHeight="1" x14ac:dyDescent="0.25">
      <c r="A95" s="16"/>
      <c r="B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</sheetData>
  <phoneticPr fontId="7" type="noConversion"/>
  <conditionalFormatting sqref="L2:L8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H1" zoomScale="115" zoomScaleNormal="115" workbookViewId="0">
      <selection activeCell="N1" sqref="N1:N1048576"/>
    </sheetView>
  </sheetViews>
  <sheetFormatPr defaultColWidth="8.9140625" defaultRowHeight="13" x14ac:dyDescent="0.3"/>
  <cols>
    <col min="1" max="1" width="4.9140625" style="15" bestFit="1" customWidth="1"/>
    <col min="2" max="2" width="4.58203125" style="15" bestFit="1" customWidth="1"/>
    <col min="3" max="3" width="9.33203125" style="15" bestFit="1" customWidth="1"/>
    <col min="4" max="4" width="29.25" style="16" bestFit="1" customWidth="1"/>
    <col min="5" max="5" width="17.33203125" style="16" bestFit="1" customWidth="1"/>
    <col min="6" max="6" width="174.08203125" style="16" bestFit="1" customWidth="1"/>
    <col min="7" max="7" width="23.6640625" style="16" customWidth="1"/>
    <col min="8" max="8" width="12.58203125" style="16" customWidth="1"/>
    <col min="9" max="9" width="34.75" style="16" bestFit="1" customWidth="1"/>
    <col min="10" max="10" width="50.08203125" style="16" bestFit="1" customWidth="1"/>
    <col min="11" max="11" width="20.25" style="16" bestFit="1" customWidth="1"/>
    <col min="12" max="12" width="9.58203125" style="16" bestFit="1" customWidth="1"/>
    <col min="13" max="13" width="23.75" style="16" bestFit="1" customWidth="1"/>
    <col min="14" max="14" width="11.83203125" style="16" customWidth="1"/>
    <col min="15" max="15" width="15" style="16" bestFit="1" customWidth="1"/>
    <col min="16" max="16384" width="8.9140625" style="16"/>
  </cols>
  <sheetData>
    <row r="1" spans="1:15" s="14" customFormat="1" ht="13.75" customHeight="1" x14ac:dyDescent="0.3">
      <c r="A1" s="17" t="s">
        <v>0</v>
      </c>
      <c r="B1" s="18" t="s">
        <v>1</v>
      </c>
      <c r="C1" s="35" t="s">
        <v>123</v>
      </c>
      <c r="D1" s="3" t="s">
        <v>27</v>
      </c>
      <c r="E1" s="3" t="s">
        <v>3</v>
      </c>
      <c r="F1" s="3" t="s">
        <v>28</v>
      </c>
      <c r="G1" s="3" t="s">
        <v>29</v>
      </c>
      <c r="H1" s="3" t="s">
        <v>8</v>
      </c>
      <c r="I1" s="3" t="s">
        <v>30</v>
      </c>
      <c r="J1" s="56" t="s">
        <v>465</v>
      </c>
      <c r="K1" s="3" t="s">
        <v>31</v>
      </c>
      <c r="L1" s="22" t="s">
        <v>32</v>
      </c>
      <c r="M1" s="22" t="s">
        <v>33</v>
      </c>
      <c r="N1" s="22" t="s">
        <v>489</v>
      </c>
      <c r="O1" s="22" t="s">
        <v>488</v>
      </c>
    </row>
    <row r="2" spans="1:15" ht="13.75" customHeight="1" x14ac:dyDescent="0.3">
      <c r="A2" s="19" t="s">
        <v>34</v>
      </c>
      <c r="B2" s="19" t="s">
        <v>34</v>
      </c>
      <c r="C2" s="26">
        <v>1</v>
      </c>
      <c r="D2" s="31" t="s">
        <v>256</v>
      </c>
      <c r="E2" s="6" t="s">
        <v>35</v>
      </c>
      <c r="F2" s="26" t="s">
        <v>305</v>
      </c>
      <c r="G2" s="26" t="s">
        <v>317</v>
      </c>
      <c r="H2" s="26" t="s">
        <v>317</v>
      </c>
      <c r="I2" s="26" t="s">
        <v>439</v>
      </c>
      <c r="J2" s="26" t="s">
        <v>317</v>
      </c>
      <c r="K2" s="6">
        <v>0</v>
      </c>
      <c r="L2" s="26">
        <v>3</v>
      </c>
      <c r="M2" s="19" t="s">
        <v>12</v>
      </c>
      <c r="N2" s="59"/>
      <c r="O2" s="6" t="str">
        <f t="shared" ref="O2:O30" si="0">A3</f>
        <v>1-2</v>
      </c>
    </row>
    <row r="3" spans="1:15" ht="13.75" customHeight="1" x14ac:dyDescent="0.3">
      <c r="A3" s="15" t="s">
        <v>36</v>
      </c>
      <c r="B3" s="15" t="s">
        <v>36</v>
      </c>
      <c r="C3" s="27">
        <v>1</v>
      </c>
      <c r="D3" s="27" t="s">
        <v>257</v>
      </c>
      <c r="E3" s="16" t="s">
        <v>37</v>
      </c>
      <c r="F3" s="51" t="s">
        <v>306</v>
      </c>
      <c r="G3" s="9" t="s">
        <v>317</v>
      </c>
      <c r="H3" s="16" t="s">
        <v>317</v>
      </c>
      <c r="I3" s="27" t="s">
        <v>440</v>
      </c>
      <c r="J3" s="27" t="s">
        <v>443</v>
      </c>
      <c r="K3" s="16">
        <v>0</v>
      </c>
      <c r="L3" s="51">
        <v>3</v>
      </c>
      <c r="M3" s="23" t="s">
        <v>12</v>
      </c>
      <c r="N3" s="9" t="str">
        <f>B2</f>
        <v>1-1</v>
      </c>
      <c r="O3" s="9" t="str">
        <f t="shared" si="0"/>
        <v>1-3</v>
      </c>
    </row>
    <row r="4" spans="1:15" ht="13.75" customHeight="1" x14ac:dyDescent="0.3">
      <c r="A4" s="25" t="s">
        <v>255</v>
      </c>
      <c r="B4" s="25" t="s">
        <v>255</v>
      </c>
      <c r="C4" s="26">
        <v>1</v>
      </c>
      <c r="D4" s="31" t="s">
        <v>258</v>
      </c>
      <c r="E4" s="6" t="s">
        <v>38</v>
      </c>
      <c r="F4" s="26" t="s">
        <v>307</v>
      </c>
      <c r="G4" s="6" t="s">
        <v>317</v>
      </c>
      <c r="H4" s="6" t="s">
        <v>317</v>
      </c>
      <c r="I4" s="26" t="s">
        <v>441</v>
      </c>
      <c r="J4" s="6" t="s">
        <v>317</v>
      </c>
      <c r="K4" s="6">
        <v>1</v>
      </c>
      <c r="L4" s="26">
        <v>4</v>
      </c>
      <c r="M4" s="19" t="s">
        <v>12</v>
      </c>
      <c r="N4" s="6" t="str">
        <f>B3</f>
        <v>1-2</v>
      </c>
      <c r="O4" s="6" t="str">
        <f t="shared" si="0"/>
        <v>1-4</v>
      </c>
    </row>
    <row r="5" spans="1:15" ht="13.75" customHeight="1" x14ac:dyDescent="0.3">
      <c r="A5" s="15" t="s">
        <v>39</v>
      </c>
      <c r="B5" s="15" t="s">
        <v>39</v>
      </c>
      <c r="C5" s="27">
        <v>1</v>
      </c>
      <c r="D5" s="27" t="s">
        <v>259</v>
      </c>
      <c r="E5" s="16" t="s">
        <v>40</v>
      </c>
      <c r="F5" s="51" t="s">
        <v>308</v>
      </c>
      <c r="G5" s="16" t="s">
        <v>483</v>
      </c>
      <c r="H5" s="16" t="s">
        <v>317</v>
      </c>
      <c r="I5" s="27" t="s">
        <v>438</v>
      </c>
      <c r="J5" s="16" t="s">
        <v>317</v>
      </c>
      <c r="K5" s="16">
        <v>1</v>
      </c>
      <c r="L5" s="27">
        <v>4</v>
      </c>
      <c r="M5" s="15" t="s">
        <v>12</v>
      </c>
      <c r="N5" s="15" t="str">
        <f t="shared" ref="N5:N31" si="1">B4</f>
        <v>1-3</v>
      </c>
      <c r="O5" s="16" t="str">
        <f t="shared" si="0"/>
        <v>1-5</v>
      </c>
    </row>
    <row r="6" spans="1:15" ht="13.75" customHeight="1" x14ac:dyDescent="0.3">
      <c r="A6" s="25" t="s">
        <v>316</v>
      </c>
      <c r="B6" s="25" t="s">
        <v>316</v>
      </c>
      <c r="C6" s="26">
        <v>1</v>
      </c>
      <c r="D6" s="31" t="s">
        <v>260</v>
      </c>
      <c r="E6" s="6" t="s">
        <v>279</v>
      </c>
      <c r="F6" s="26" t="s">
        <v>309</v>
      </c>
      <c r="G6" s="26" t="s">
        <v>317</v>
      </c>
      <c r="H6" s="6" t="s">
        <v>317</v>
      </c>
      <c r="I6" s="6" t="s">
        <v>11</v>
      </c>
      <c r="J6" s="26" t="s">
        <v>444</v>
      </c>
      <c r="K6" s="6">
        <v>1</v>
      </c>
      <c r="L6" s="26">
        <v>4</v>
      </c>
      <c r="M6" s="25" t="s">
        <v>467</v>
      </c>
      <c r="N6" s="6" t="str">
        <f t="shared" si="1"/>
        <v>1-4</v>
      </c>
      <c r="O6" s="6" t="str">
        <f t="shared" si="0"/>
        <v>2-1</v>
      </c>
    </row>
    <row r="7" spans="1:15" ht="13.75" customHeight="1" x14ac:dyDescent="0.3">
      <c r="A7" s="15" t="s">
        <v>41</v>
      </c>
      <c r="B7" s="15" t="s">
        <v>41</v>
      </c>
      <c r="C7" s="27">
        <v>2</v>
      </c>
      <c r="D7" s="27" t="s">
        <v>261</v>
      </c>
      <c r="E7" s="16" t="s">
        <v>280</v>
      </c>
      <c r="F7" s="51" t="s">
        <v>310</v>
      </c>
      <c r="G7" s="27" t="s">
        <v>317</v>
      </c>
      <c r="H7" s="27" t="s">
        <v>442</v>
      </c>
      <c r="I7" s="27" t="s">
        <v>437</v>
      </c>
      <c r="J7" s="27" t="s">
        <v>466</v>
      </c>
      <c r="K7" s="16">
        <v>1</v>
      </c>
      <c r="L7" s="27">
        <v>5</v>
      </c>
      <c r="M7" s="15" t="s">
        <v>12</v>
      </c>
      <c r="N7" s="15" t="str">
        <f t="shared" si="1"/>
        <v>1-5</v>
      </c>
      <c r="O7" s="16" t="str">
        <f t="shared" si="0"/>
        <v>2-2</v>
      </c>
    </row>
    <row r="8" spans="1:15" ht="13.75" customHeight="1" x14ac:dyDescent="0.3">
      <c r="A8" s="52" t="s">
        <v>42</v>
      </c>
      <c r="B8" s="52" t="s">
        <v>42</v>
      </c>
      <c r="C8" s="52">
        <v>2</v>
      </c>
      <c r="D8" s="52" t="s">
        <v>262</v>
      </c>
      <c r="E8" s="52" t="s">
        <v>281</v>
      </c>
      <c r="F8" s="52" t="s">
        <v>311</v>
      </c>
      <c r="G8" s="52" t="s">
        <v>317</v>
      </c>
      <c r="H8" s="52" t="s">
        <v>442</v>
      </c>
      <c r="I8" s="52" t="s">
        <v>43</v>
      </c>
      <c r="J8" s="52" t="s">
        <v>445</v>
      </c>
      <c r="K8" s="62">
        <v>1</v>
      </c>
      <c r="L8" s="62">
        <v>5</v>
      </c>
      <c r="M8" s="52" t="s">
        <v>468</v>
      </c>
      <c r="N8" s="52" t="str">
        <f t="shared" si="1"/>
        <v>2-1</v>
      </c>
      <c r="O8" s="52" t="str">
        <f t="shared" si="0"/>
        <v>2-3</v>
      </c>
    </row>
    <row r="9" spans="1:15" ht="13.75" customHeight="1" x14ac:dyDescent="0.3">
      <c r="A9" s="15" t="s">
        <v>44</v>
      </c>
      <c r="B9" s="15" t="s">
        <v>44</v>
      </c>
      <c r="C9" s="15">
        <v>2</v>
      </c>
      <c r="D9" s="15" t="s">
        <v>274</v>
      </c>
      <c r="E9" s="15" t="s">
        <v>282</v>
      </c>
      <c r="F9" s="15" t="s">
        <v>312</v>
      </c>
      <c r="G9" s="15" t="s">
        <v>317</v>
      </c>
      <c r="H9" s="15" t="s">
        <v>317</v>
      </c>
      <c r="I9" s="57" t="s">
        <v>422</v>
      </c>
      <c r="J9" s="57" t="s">
        <v>446</v>
      </c>
      <c r="K9" s="27">
        <v>2</v>
      </c>
      <c r="L9" s="27">
        <v>6</v>
      </c>
      <c r="M9" s="15" t="s">
        <v>12</v>
      </c>
      <c r="N9" s="15" t="str">
        <f t="shared" si="1"/>
        <v>2-2</v>
      </c>
      <c r="O9" s="15" t="str">
        <f t="shared" si="0"/>
        <v>2-4</v>
      </c>
    </row>
    <row r="10" spans="1:15" ht="13.75" customHeight="1" x14ac:dyDescent="0.3">
      <c r="A10" s="52" t="s">
        <v>45</v>
      </c>
      <c r="B10" s="52" t="s">
        <v>45</v>
      </c>
      <c r="C10" s="52">
        <v>2</v>
      </c>
      <c r="D10" s="52" t="s">
        <v>263</v>
      </c>
      <c r="E10" s="52" t="s">
        <v>283</v>
      </c>
      <c r="F10" s="52" t="s">
        <v>313</v>
      </c>
      <c r="G10" s="67" t="s">
        <v>484</v>
      </c>
      <c r="H10" s="52" t="s">
        <v>317</v>
      </c>
      <c r="I10" s="52" t="s">
        <v>423</v>
      </c>
      <c r="J10" s="52" t="s">
        <v>317</v>
      </c>
      <c r="K10" s="62">
        <v>2</v>
      </c>
      <c r="L10" s="62">
        <v>6</v>
      </c>
      <c r="M10" s="52" t="s">
        <v>12</v>
      </c>
      <c r="N10" s="52" t="str">
        <f t="shared" si="1"/>
        <v>2-3</v>
      </c>
      <c r="O10" s="52" t="str">
        <f t="shared" si="0"/>
        <v>2-5</v>
      </c>
    </row>
    <row r="11" spans="1:15" ht="13.75" customHeight="1" x14ac:dyDescent="0.3">
      <c r="A11" s="15" t="s">
        <v>46</v>
      </c>
      <c r="B11" s="15" t="s">
        <v>46</v>
      </c>
      <c r="C11" s="15">
        <v>2</v>
      </c>
      <c r="D11" s="15" t="s">
        <v>264</v>
      </c>
      <c r="E11" s="15" t="s">
        <v>284</v>
      </c>
      <c r="F11" s="15" t="s">
        <v>314</v>
      </c>
      <c r="G11" s="57" t="s">
        <v>317</v>
      </c>
      <c r="H11" s="15" t="s">
        <v>317</v>
      </c>
      <c r="I11" s="57" t="s">
        <v>424</v>
      </c>
      <c r="J11" s="15" t="s">
        <v>463</v>
      </c>
      <c r="K11" s="27">
        <v>3</v>
      </c>
      <c r="L11" s="27">
        <v>7</v>
      </c>
      <c r="M11" s="15" t="s">
        <v>26</v>
      </c>
      <c r="N11" s="15" t="str">
        <f t="shared" si="1"/>
        <v>2-4</v>
      </c>
      <c r="O11" s="15" t="str">
        <f t="shared" si="0"/>
        <v>2-6</v>
      </c>
    </row>
    <row r="12" spans="1:15" ht="13.75" customHeight="1" x14ac:dyDescent="0.3">
      <c r="A12" s="52" t="s">
        <v>47</v>
      </c>
      <c r="B12" s="52" t="s">
        <v>47</v>
      </c>
      <c r="C12" s="52">
        <v>2</v>
      </c>
      <c r="D12" s="52" t="s">
        <v>265</v>
      </c>
      <c r="E12" s="52" t="s">
        <v>285</v>
      </c>
      <c r="F12" s="52" t="s">
        <v>315</v>
      </c>
      <c r="G12" s="52" t="s">
        <v>317</v>
      </c>
      <c r="H12" s="52" t="s">
        <v>317</v>
      </c>
      <c r="I12" s="52" t="s">
        <v>425</v>
      </c>
      <c r="J12" s="52" t="s">
        <v>447</v>
      </c>
      <c r="K12" s="62">
        <v>3</v>
      </c>
      <c r="L12" s="62">
        <v>7</v>
      </c>
      <c r="M12" s="52" t="s">
        <v>12</v>
      </c>
      <c r="N12" s="52" t="str">
        <f t="shared" si="1"/>
        <v>2-5</v>
      </c>
      <c r="O12" s="52" t="str">
        <f t="shared" si="0"/>
        <v>3-1</v>
      </c>
    </row>
    <row r="13" spans="1:15" ht="13.75" customHeight="1" x14ac:dyDescent="0.3">
      <c r="A13" s="15" t="s">
        <v>48</v>
      </c>
      <c r="B13" s="15" t="s">
        <v>48</v>
      </c>
      <c r="C13" s="27">
        <v>3</v>
      </c>
      <c r="D13" s="27" t="s">
        <v>266</v>
      </c>
      <c r="E13" s="27" t="s">
        <v>286</v>
      </c>
      <c r="F13" s="51" t="s">
        <v>333</v>
      </c>
      <c r="G13" s="51" t="s">
        <v>317</v>
      </c>
      <c r="H13" s="16" t="s">
        <v>317</v>
      </c>
      <c r="I13" s="27" t="s">
        <v>426</v>
      </c>
      <c r="J13" s="27" t="s">
        <v>448</v>
      </c>
      <c r="K13" s="16">
        <v>3</v>
      </c>
      <c r="L13" s="51">
        <v>7</v>
      </c>
      <c r="M13" s="63" t="s">
        <v>12</v>
      </c>
      <c r="N13" s="9" t="str">
        <f t="shared" si="1"/>
        <v>2-6</v>
      </c>
      <c r="O13" s="9" t="str">
        <f t="shared" si="0"/>
        <v>3-2</v>
      </c>
    </row>
    <row r="14" spans="1:15" ht="13.75" customHeight="1" x14ac:dyDescent="0.3">
      <c r="A14" s="33" t="s">
        <v>71</v>
      </c>
      <c r="B14" s="33" t="s">
        <v>71</v>
      </c>
      <c r="C14" s="33">
        <v>3</v>
      </c>
      <c r="D14" s="33" t="s">
        <v>267</v>
      </c>
      <c r="E14" s="33" t="s">
        <v>287</v>
      </c>
      <c r="F14" s="33" t="s">
        <v>334</v>
      </c>
      <c r="G14" s="33" t="s">
        <v>317</v>
      </c>
      <c r="H14" s="33" t="s">
        <v>317</v>
      </c>
      <c r="I14" s="33" t="s">
        <v>427</v>
      </c>
      <c r="J14" s="33" t="s">
        <v>449</v>
      </c>
      <c r="K14" s="33">
        <v>4</v>
      </c>
      <c r="L14" s="33">
        <v>7</v>
      </c>
      <c r="M14" s="64" t="s">
        <v>12</v>
      </c>
      <c r="N14" s="33" t="str">
        <f t="shared" si="1"/>
        <v>3-1</v>
      </c>
      <c r="O14" s="33" t="str">
        <f t="shared" si="0"/>
        <v>3-3</v>
      </c>
    </row>
    <row r="15" spans="1:15" ht="13.75" customHeight="1" x14ac:dyDescent="0.3">
      <c r="A15" s="15" t="s">
        <v>72</v>
      </c>
      <c r="B15" s="15" t="s">
        <v>72</v>
      </c>
      <c r="C15" s="27">
        <v>3</v>
      </c>
      <c r="D15" s="27" t="s">
        <v>268</v>
      </c>
      <c r="E15" s="27" t="s">
        <v>288</v>
      </c>
      <c r="F15" s="51" t="s">
        <v>335</v>
      </c>
      <c r="G15" s="16" t="s">
        <v>317</v>
      </c>
      <c r="H15" s="16" t="s">
        <v>317</v>
      </c>
      <c r="I15" s="27" t="s">
        <v>428</v>
      </c>
      <c r="J15" s="16" t="s">
        <v>450</v>
      </c>
      <c r="K15" s="16">
        <v>4</v>
      </c>
      <c r="L15" s="27">
        <v>8</v>
      </c>
      <c r="M15" s="57" t="s">
        <v>12</v>
      </c>
      <c r="N15" s="16" t="str">
        <f t="shared" si="1"/>
        <v>3-2</v>
      </c>
      <c r="O15" s="16" t="str">
        <f t="shared" si="0"/>
        <v>3-4</v>
      </c>
    </row>
    <row r="16" spans="1:15" ht="13.75" customHeight="1" x14ac:dyDescent="0.3">
      <c r="A16" s="33" t="s">
        <v>318</v>
      </c>
      <c r="B16" s="33" t="s">
        <v>318</v>
      </c>
      <c r="C16" s="33">
        <v>3</v>
      </c>
      <c r="D16" s="33" t="s">
        <v>269</v>
      </c>
      <c r="E16" s="33" t="s">
        <v>289</v>
      </c>
      <c r="F16" s="33" t="s">
        <v>336</v>
      </c>
      <c r="G16" s="33" t="s">
        <v>317</v>
      </c>
      <c r="H16" s="33" t="s">
        <v>317</v>
      </c>
      <c r="I16" s="33" t="s">
        <v>11</v>
      </c>
      <c r="J16" s="33" t="s">
        <v>451</v>
      </c>
      <c r="K16" s="33">
        <v>5</v>
      </c>
      <c r="L16" s="33">
        <v>8</v>
      </c>
      <c r="M16" s="64" t="s">
        <v>12</v>
      </c>
      <c r="N16" s="33" t="str">
        <f t="shared" si="1"/>
        <v>3-3</v>
      </c>
      <c r="O16" s="33" t="str">
        <f t="shared" si="0"/>
        <v>3-5</v>
      </c>
    </row>
    <row r="17" spans="1:15" ht="13.75" customHeight="1" x14ac:dyDescent="0.3">
      <c r="A17" s="15" t="s">
        <v>73</v>
      </c>
      <c r="B17" s="15" t="s">
        <v>73</v>
      </c>
      <c r="C17" s="27">
        <v>3</v>
      </c>
      <c r="D17" s="27" t="s">
        <v>270</v>
      </c>
      <c r="E17" s="27" t="s">
        <v>290</v>
      </c>
      <c r="F17" s="51" t="s">
        <v>337</v>
      </c>
      <c r="G17" s="16" t="s">
        <v>317</v>
      </c>
      <c r="H17" s="16" t="s">
        <v>317</v>
      </c>
      <c r="I17" s="27" t="s">
        <v>430</v>
      </c>
      <c r="J17" s="27" t="s">
        <v>452</v>
      </c>
      <c r="K17" s="16">
        <v>5</v>
      </c>
      <c r="L17" s="27">
        <v>9</v>
      </c>
      <c r="M17" s="57" t="s">
        <v>12</v>
      </c>
      <c r="N17" s="16" t="str">
        <f t="shared" si="1"/>
        <v>3-4</v>
      </c>
      <c r="O17" s="16" t="str">
        <f t="shared" si="0"/>
        <v>3-6</v>
      </c>
    </row>
    <row r="18" spans="1:15" ht="13.75" customHeight="1" x14ac:dyDescent="0.3">
      <c r="A18" s="33" t="s">
        <v>319</v>
      </c>
      <c r="B18" s="33" t="s">
        <v>319</v>
      </c>
      <c r="C18" s="33">
        <v>3</v>
      </c>
      <c r="D18" s="33" t="s">
        <v>271</v>
      </c>
      <c r="E18" s="33" t="s">
        <v>291</v>
      </c>
      <c r="F18" s="33" t="s">
        <v>338</v>
      </c>
      <c r="G18" s="33" t="s">
        <v>317</v>
      </c>
      <c r="H18" s="33" t="s">
        <v>317</v>
      </c>
      <c r="I18" s="33" t="s">
        <v>429</v>
      </c>
      <c r="J18" s="33" t="s">
        <v>453</v>
      </c>
      <c r="K18" s="33">
        <v>5</v>
      </c>
      <c r="L18" s="33">
        <v>9</v>
      </c>
      <c r="M18" s="64" t="s">
        <v>12</v>
      </c>
      <c r="N18" s="33" t="str">
        <f t="shared" si="1"/>
        <v>3-5</v>
      </c>
      <c r="O18" s="33" t="str">
        <f t="shared" si="0"/>
        <v>3-7</v>
      </c>
    </row>
    <row r="19" spans="1:15" ht="13.75" customHeight="1" x14ac:dyDescent="0.3">
      <c r="A19" s="15" t="s">
        <v>74</v>
      </c>
      <c r="B19" s="15" t="s">
        <v>74</v>
      </c>
      <c r="C19" s="27">
        <v>3</v>
      </c>
      <c r="D19" s="27" t="s">
        <v>272</v>
      </c>
      <c r="E19" s="27" t="s">
        <v>292</v>
      </c>
      <c r="F19" s="51" t="s">
        <v>339</v>
      </c>
      <c r="G19" s="16" t="s">
        <v>317</v>
      </c>
      <c r="H19" s="16" t="s">
        <v>317</v>
      </c>
      <c r="I19" s="27" t="s">
        <v>317</v>
      </c>
      <c r="J19" s="27" t="s">
        <v>454</v>
      </c>
      <c r="K19" s="16">
        <v>6</v>
      </c>
      <c r="L19" s="27">
        <v>10</v>
      </c>
      <c r="M19" s="57" t="s">
        <v>12</v>
      </c>
      <c r="N19" s="16" t="str">
        <f t="shared" si="1"/>
        <v>3-6</v>
      </c>
      <c r="O19" s="16" t="str">
        <f t="shared" si="0"/>
        <v>4-1</v>
      </c>
    </row>
    <row r="20" spans="1:15" ht="13.75" customHeight="1" x14ac:dyDescent="0.25">
      <c r="A20" s="39" t="s">
        <v>75</v>
      </c>
      <c r="B20" s="39" t="s">
        <v>75</v>
      </c>
      <c r="C20" s="39">
        <v>4</v>
      </c>
      <c r="D20" s="39" t="s">
        <v>273</v>
      </c>
      <c r="E20" s="39" t="s">
        <v>293</v>
      </c>
      <c r="F20" s="39" t="s">
        <v>340</v>
      </c>
      <c r="G20" s="39" t="s">
        <v>317</v>
      </c>
      <c r="H20" s="39" t="s">
        <v>317</v>
      </c>
      <c r="I20" s="39" t="s">
        <v>433</v>
      </c>
      <c r="J20" s="39" t="s">
        <v>455</v>
      </c>
      <c r="K20" s="39">
        <v>6</v>
      </c>
      <c r="L20" s="39">
        <v>10</v>
      </c>
      <c r="M20" s="65" t="s">
        <v>12</v>
      </c>
      <c r="N20" s="39" t="str">
        <f t="shared" si="1"/>
        <v>3-7</v>
      </c>
      <c r="O20" s="39" t="str">
        <f t="shared" si="0"/>
        <v>4-2</v>
      </c>
    </row>
    <row r="21" spans="1:15" ht="13.75" customHeight="1" x14ac:dyDescent="0.3">
      <c r="A21" s="15" t="s">
        <v>76</v>
      </c>
      <c r="B21" s="15" t="s">
        <v>76</v>
      </c>
      <c r="C21" s="27">
        <v>4</v>
      </c>
      <c r="D21" s="27" t="s">
        <v>275</v>
      </c>
      <c r="E21" s="27" t="s">
        <v>294</v>
      </c>
      <c r="F21" s="51" t="s">
        <v>341</v>
      </c>
      <c r="G21" s="9" t="s">
        <v>317</v>
      </c>
      <c r="H21" s="16" t="s">
        <v>317</v>
      </c>
      <c r="I21" s="27" t="s">
        <v>434</v>
      </c>
      <c r="J21" s="16" t="s">
        <v>317</v>
      </c>
      <c r="K21" s="16">
        <v>6</v>
      </c>
      <c r="L21" s="51">
        <v>10</v>
      </c>
      <c r="M21" s="63" t="s">
        <v>12</v>
      </c>
      <c r="N21" s="9" t="str">
        <f t="shared" si="1"/>
        <v>4-1</v>
      </c>
      <c r="O21" s="9" t="str">
        <f t="shared" si="0"/>
        <v>4-3</v>
      </c>
    </row>
    <row r="22" spans="1:15" ht="13.75" customHeight="1" x14ac:dyDescent="0.25">
      <c r="A22" s="39" t="s">
        <v>253</v>
      </c>
      <c r="B22" s="39" t="s">
        <v>253</v>
      </c>
      <c r="C22" s="39">
        <v>4</v>
      </c>
      <c r="D22" s="39" t="s">
        <v>320</v>
      </c>
      <c r="E22" s="39" t="s">
        <v>295</v>
      </c>
      <c r="F22" s="39" t="s">
        <v>342</v>
      </c>
      <c r="G22" s="39" t="s">
        <v>317</v>
      </c>
      <c r="H22" s="39" t="s">
        <v>317</v>
      </c>
      <c r="I22" s="39" t="s">
        <v>435</v>
      </c>
      <c r="J22" s="39" t="s">
        <v>464</v>
      </c>
      <c r="K22" s="39">
        <v>6</v>
      </c>
      <c r="L22" s="39">
        <v>11</v>
      </c>
      <c r="M22" s="65" t="s">
        <v>12</v>
      </c>
      <c r="N22" s="39" t="str">
        <f t="shared" si="1"/>
        <v>4-2</v>
      </c>
      <c r="O22" s="39" t="str">
        <f t="shared" si="0"/>
        <v>4-4</v>
      </c>
    </row>
    <row r="23" spans="1:15" ht="13.75" customHeight="1" x14ac:dyDescent="0.3">
      <c r="A23" s="15" t="s">
        <v>321</v>
      </c>
      <c r="B23" s="15" t="s">
        <v>321</v>
      </c>
      <c r="C23" s="27">
        <v>4</v>
      </c>
      <c r="D23" s="27" t="s">
        <v>322</v>
      </c>
      <c r="E23" s="27" t="s">
        <v>296</v>
      </c>
      <c r="F23" s="51" t="s">
        <v>343</v>
      </c>
      <c r="G23" s="9" t="s">
        <v>317</v>
      </c>
      <c r="H23" s="16" t="s">
        <v>317</v>
      </c>
      <c r="I23" s="27" t="s">
        <v>317</v>
      </c>
      <c r="J23" s="27" t="s">
        <v>456</v>
      </c>
      <c r="K23" s="16">
        <v>7</v>
      </c>
      <c r="L23" s="51">
        <v>12</v>
      </c>
      <c r="M23" s="63" t="s">
        <v>12</v>
      </c>
      <c r="N23" s="9" t="str">
        <f t="shared" si="1"/>
        <v>4-3</v>
      </c>
      <c r="O23" s="9" t="str">
        <f t="shared" si="0"/>
        <v>4-5</v>
      </c>
    </row>
    <row r="24" spans="1:15" ht="13.75" customHeight="1" x14ac:dyDescent="0.25">
      <c r="A24" s="39" t="s">
        <v>323</v>
      </c>
      <c r="B24" s="39" t="s">
        <v>323</v>
      </c>
      <c r="C24" s="39">
        <v>4</v>
      </c>
      <c r="D24" s="39" t="s">
        <v>324</v>
      </c>
      <c r="E24" s="39" t="s">
        <v>297</v>
      </c>
      <c r="F24" s="39" t="s">
        <v>344</v>
      </c>
      <c r="G24" s="39" t="s">
        <v>317</v>
      </c>
      <c r="H24" s="39" t="s">
        <v>317</v>
      </c>
      <c r="I24" s="39" t="s">
        <v>317</v>
      </c>
      <c r="J24" s="39" t="s">
        <v>457</v>
      </c>
      <c r="K24" s="39">
        <v>8</v>
      </c>
      <c r="L24" s="39">
        <v>12</v>
      </c>
      <c r="M24" s="65" t="s">
        <v>12</v>
      </c>
      <c r="N24" s="39" t="str">
        <f t="shared" si="1"/>
        <v>4-4</v>
      </c>
      <c r="O24" s="39" t="str">
        <f t="shared" si="0"/>
        <v>4-6</v>
      </c>
    </row>
    <row r="25" spans="1:15" ht="13.75" customHeight="1" x14ac:dyDescent="0.3">
      <c r="A25" s="15" t="s">
        <v>325</v>
      </c>
      <c r="B25" s="15" t="s">
        <v>325</v>
      </c>
      <c r="C25" s="27">
        <v>4</v>
      </c>
      <c r="D25" s="27" t="s">
        <v>326</v>
      </c>
      <c r="E25" s="27" t="s">
        <v>298</v>
      </c>
      <c r="F25" s="51" t="s">
        <v>345</v>
      </c>
      <c r="G25" s="9" t="s">
        <v>317</v>
      </c>
      <c r="H25" s="16" t="s">
        <v>317</v>
      </c>
      <c r="I25" s="16" t="s">
        <v>317</v>
      </c>
      <c r="J25" s="16" t="s">
        <v>317</v>
      </c>
      <c r="K25" s="16">
        <v>8</v>
      </c>
      <c r="L25" s="51">
        <v>12</v>
      </c>
      <c r="M25" s="63" t="s">
        <v>12</v>
      </c>
      <c r="N25" s="9" t="str">
        <f t="shared" si="1"/>
        <v>4-5</v>
      </c>
      <c r="O25" s="9" t="str">
        <f t="shared" si="0"/>
        <v>5-1</v>
      </c>
    </row>
    <row r="26" spans="1:15" ht="13.75" customHeight="1" x14ac:dyDescent="0.25">
      <c r="A26" s="41" t="s">
        <v>77</v>
      </c>
      <c r="B26" s="41" t="s">
        <v>77</v>
      </c>
      <c r="C26" s="41">
        <v>5</v>
      </c>
      <c r="D26" s="41" t="s">
        <v>327</v>
      </c>
      <c r="E26" s="41" t="s">
        <v>299</v>
      </c>
      <c r="F26" s="41" t="s">
        <v>346</v>
      </c>
      <c r="G26" s="41" t="s">
        <v>317</v>
      </c>
      <c r="H26" s="41" t="s">
        <v>317</v>
      </c>
      <c r="I26" s="41" t="s">
        <v>317</v>
      </c>
      <c r="J26" s="41" t="s">
        <v>458</v>
      </c>
      <c r="K26" s="41">
        <v>9</v>
      </c>
      <c r="L26" s="41">
        <v>13</v>
      </c>
      <c r="M26" s="66" t="s">
        <v>12</v>
      </c>
      <c r="N26" s="41" t="str">
        <f t="shared" si="1"/>
        <v>4-6</v>
      </c>
      <c r="O26" s="41" t="str">
        <f t="shared" si="0"/>
        <v>5-2</v>
      </c>
    </row>
    <row r="27" spans="1:15" ht="13.75" customHeight="1" x14ac:dyDescent="0.3">
      <c r="A27" s="15" t="s">
        <v>78</v>
      </c>
      <c r="B27" s="15" t="s">
        <v>78</v>
      </c>
      <c r="C27" s="27">
        <v>5</v>
      </c>
      <c r="D27" s="16" t="s">
        <v>276</v>
      </c>
      <c r="E27" s="27" t="s">
        <v>300</v>
      </c>
      <c r="F27" s="51" t="s">
        <v>347</v>
      </c>
      <c r="G27" s="27" t="s">
        <v>317</v>
      </c>
      <c r="H27" s="16" t="s">
        <v>317</v>
      </c>
      <c r="I27" s="27" t="s">
        <v>436</v>
      </c>
      <c r="J27" s="16" t="s">
        <v>317</v>
      </c>
      <c r="K27" s="16">
        <v>9</v>
      </c>
      <c r="L27" s="16">
        <v>13</v>
      </c>
      <c r="M27" s="57" t="s">
        <v>12</v>
      </c>
      <c r="N27" s="16" t="str">
        <f t="shared" si="1"/>
        <v>5-1</v>
      </c>
      <c r="O27" s="16" t="str">
        <f t="shared" si="0"/>
        <v>5-3</v>
      </c>
    </row>
    <row r="28" spans="1:15" ht="13.75" customHeight="1" x14ac:dyDescent="0.25">
      <c r="A28" s="41" t="s">
        <v>328</v>
      </c>
      <c r="B28" s="41" t="s">
        <v>328</v>
      </c>
      <c r="C28" s="41">
        <v>5</v>
      </c>
      <c r="D28" s="41" t="s">
        <v>329</v>
      </c>
      <c r="E28" s="41" t="s">
        <v>301</v>
      </c>
      <c r="F28" s="41" t="s">
        <v>348</v>
      </c>
      <c r="G28" s="68" t="s">
        <v>485</v>
      </c>
      <c r="H28" s="41" t="s">
        <v>317</v>
      </c>
      <c r="I28" s="41" t="s">
        <v>11</v>
      </c>
      <c r="J28" s="41" t="s">
        <v>459</v>
      </c>
      <c r="K28" s="41">
        <v>10</v>
      </c>
      <c r="L28" s="41">
        <v>14</v>
      </c>
      <c r="M28" s="66" t="s">
        <v>12</v>
      </c>
      <c r="N28" s="41" t="str">
        <f t="shared" si="1"/>
        <v>5-2</v>
      </c>
      <c r="O28" s="41" t="str">
        <f t="shared" si="0"/>
        <v>5-4</v>
      </c>
    </row>
    <row r="29" spans="1:15" ht="13.75" customHeight="1" x14ac:dyDescent="0.3">
      <c r="A29" s="15" t="s">
        <v>330</v>
      </c>
      <c r="B29" s="15" t="s">
        <v>330</v>
      </c>
      <c r="C29" s="27">
        <v>5</v>
      </c>
      <c r="D29" s="16" t="s">
        <v>277</v>
      </c>
      <c r="E29" s="27" t="s">
        <v>302</v>
      </c>
      <c r="F29" s="51" t="s">
        <v>349</v>
      </c>
      <c r="G29" s="16" t="s">
        <v>486</v>
      </c>
      <c r="H29" s="16" t="s">
        <v>317</v>
      </c>
      <c r="I29" s="16" t="s">
        <v>11</v>
      </c>
      <c r="J29" s="27" t="s">
        <v>460</v>
      </c>
      <c r="K29" s="16">
        <v>11</v>
      </c>
      <c r="L29" s="16">
        <v>14</v>
      </c>
      <c r="M29" s="57" t="s">
        <v>12</v>
      </c>
      <c r="N29" s="16" t="str">
        <f t="shared" si="1"/>
        <v>5-3</v>
      </c>
      <c r="O29" s="16" t="str">
        <f t="shared" si="0"/>
        <v>5-5</v>
      </c>
    </row>
    <row r="30" spans="1:15" ht="13.75" customHeight="1" x14ac:dyDescent="0.25">
      <c r="A30" s="41" t="s">
        <v>254</v>
      </c>
      <c r="B30" s="41" t="s">
        <v>254</v>
      </c>
      <c r="C30" s="41">
        <v>5</v>
      </c>
      <c r="D30" s="41" t="s">
        <v>331</v>
      </c>
      <c r="E30" s="41" t="s">
        <v>303</v>
      </c>
      <c r="F30" s="41" t="s">
        <v>350</v>
      </c>
      <c r="G30" s="68" t="s">
        <v>485</v>
      </c>
      <c r="H30" s="41" t="s">
        <v>317</v>
      </c>
      <c r="I30" s="41" t="s">
        <v>11</v>
      </c>
      <c r="J30" s="41" t="s">
        <v>461</v>
      </c>
      <c r="K30" s="41">
        <v>12</v>
      </c>
      <c r="L30" s="41">
        <v>14</v>
      </c>
      <c r="M30" s="66" t="s">
        <v>12</v>
      </c>
      <c r="N30" s="41" t="str">
        <f t="shared" si="1"/>
        <v>5-4</v>
      </c>
      <c r="O30" s="41" t="str">
        <f t="shared" si="0"/>
        <v>5-6</v>
      </c>
    </row>
    <row r="31" spans="1:15" ht="13.75" customHeight="1" x14ac:dyDescent="0.3">
      <c r="A31" s="15" t="s">
        <v>332</v>
      </c>
      <c r="B31" s="15" t="s">
        <v>332</v>
      </c>
      <c r="C31" s="27">
        <v>5</v>
      </c>
      <c r="D31" s="16" t="s">
        <v>278</v>
      </c>
      <c r="E31" s="27" t="s">
        <v>304</v>
      </c>
      <c r="F31" s="51" t="s">
        <v>351</v>
      </c>
      <c r="G31" s="16" t="s">
        <v>486</v>
      </c>
      <c r="H31" s="16" t="s">
        <v>317</v>
      </c>
      <c r="I31" s="16" t="s">
        <v>11</v>
      </c>
      <c r="J31" s="27" t="s">
        <v>462</v>
      </c>
      <c r="K31" s="16">
        <v>12</v>
      </c>
      <c r="L31" s="16">
        <v>15</v>
      </c>
      <c r="M31" s="57" t="s">
        <v>12</v>
      </c>
      <c r="N31" s="16" t="str">
        <f t="shared" si="1"/>
        <v>5-5</v>
      </c>
      <c r="O31" s="60"/>
    </row>
    <row r="32" spans="1:15" ht="13.75" customHeight="1" x14ac:dyDescent="0.3">
      <c r="A32" s="25"/>
      <c r="B32" s="25"/>
      <c r="C32" s="26"/>
      <c r="D32" s="20"/>
      <c r="E32" s="6"/>
      <c r="F32" s="6"/>
      <c r="G32" s="6"/>
      <c r="H32" s="6"/>
      <c r="I32" s="6"/>
      <c r="J32" s="6"/>
      <c r="K32" s="6"/>
      <c r="L32" s="19"/>
      <c r="M32" s="19"/>
      <c r="N32" s="6"/>
      <c r="O32" s="6"/>
    </row>
    <row r="33" spans="1:15" ht="13.75" customHeight="1" x14ac:dyDescent="0.3">
      <c r="C33" s="27"/>
      <c r="F33" s="9"/>
      <c r="L33" s="15"/>
      <c r="M33" s="15"/>
    </row>
    <row r="34" spans="1:15" ht="13.75" customHeight="1" x14ac:dyDescent="0.3">
      <c r="A34" s="25"/>
      <c r="B34" s="25"/>
      <c r="C34" s="26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3.75" customHeight="1" x14ac:dyDescent="0.3">
      <c r="C35" s="27"/>
      <c r="F35" s="9"/>
    </row>
    <row r="36" spans="1:15" ht="13.75" customHeight="1" x14ac:dyDescent="0.3">
      <c r="A36" s="19"/>
      <c r="B36" s="19"/>
      <c r="C36" s="19"/>
      <c r="D36" s="1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ht="13.75" customHeight="1" x14ac:dyDescent="0.3">
      <c r="D37" s="21"/>
      <c r="F37" s="9"/>
      <c r="G37" s="9"/>
      <c r="H37" s="9"/>
      <c r="I37" s="9"/>
    </row>
    <row r="38" spans="1:15" ht="13.75" customHeight="1" x14ac:dyDescent="0.3">
      <c r="A38" s="19"/>
      <c r="B38" s="19"/>
      <c r="C38" s="19"/>
      <c r="D38" s="1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ht="13.75" customHeight="1" x14ac:dyDescent="0.3">
      <c r="F39" s="9"/>
    </row>
    <row r="40" spans="1:15" ht="13.75" customHeight="1" x14ac:dyDescent="0.3">
      <c r="A40" s="19"/>
      <c r="B40" s="19"/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ht="13.75" customHeight="1" x14ac:dyDescent="0.3">
      <c r="F41" s="9"/>
    </row>
    <row r="42" spans="1:15" ht="13.75" customHeight="1" x14ac:dyDescent="0.3">
      <c r="A42" s="19"/>
      <c r="B42" s="19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Character</vt:lpstr>
      <vt:lpstr>Emotion</vt:lpstr>
      <vt:lpstr>AI</vt:lpstr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2015-06-05T18:19:00Z</dcterms:created>
  <dcterms:modified xsi:type="dcterms:W3CDTF">2025-11-09T04:30:27Z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DE348860B1404471AFD2B93F1720DFA1_12</vt:lpwstr>
  </property>
  <property fmtid="{D5CDD505-2E9C-101B-9397-08002B2CF9AE}" pid="3" name="KSOProductBuildVer">
    <vt:lpwstr>2052-12.1.0.22529</vt:lpwstr>
  </property>
</Properties>
</file>